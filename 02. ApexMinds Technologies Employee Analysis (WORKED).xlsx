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A Professional\Self Executed\6. ApexMinds Technologies Pvt. Ltd\"/>
    </mc:Choice>
  </mc:AlternateContent>
  <xr:revisionPtr revIDLastSave="0" documentId="13_ncr:1_{D5B31F43-2617-4D49-B75E-F4C7C6897A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mployee Details" sheetId="2" r:id="rId1"/>
  </sheets>
  <definedNames>
    <definedName name="_xlnm._FilterDatabase" localSheetId="0" hidden="1">'Employee Details'!$A$1:$P$373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2" i="2"/>
  <c r="Q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2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5" i="2"/>
  <c r="Q6" i="2"/>
  <c r="Q4" i="2"/>
  <c r="Q3" i="2"/>
  <c r="S4" i="2"/>
  <c r="S3" i="2"/>
  <c r="S2" i="2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93" i="2"/>
  <c r="I93" i="2" s="1"/>
  <c r="H94" i="2"/>
  <c r="I94" i="2" s="1"/>
  <c r="H95" i="2"/>
  <c r="I95" i="2" s="1"/>
  <c r="H96" i="2"/>
  <c r="I96" i="2" s="1"/>
  <c r="H97" i="2"/>
  <c r="I97" i="2" s="1"/>
  <c r="H98" i="2"/>
  <c r="I98" i="2" s="1"/>
  <c r="H99" i="2"/>
  <c r="I99" i="2" s="1"/>
  <c r="H100" i="2"/>
  <c r="I100" i="2" s="1"/>
  <c r="H101" i="2"/>
  <c r="I101" i="2" s="1"/>
  <c r="H102" i="2"/>
  <c r="I102" i="2" s="1"/>
  <c r="H103" i="2"/>
  <c r="I103" i="2" s="1"/>
  <c r="H104" i="2"/>
  <c r="I104" i="2" s="1"/>
  <c r="H105" i="2"/>
  <c r="I105" i="2" s="1"/>
  <c r="H106" i="2"/>
  <c r="I106" i="2" s="1"/>
  <c r="H107" i="2"/>
  <c r="I107" i="2" s="1"/>
  <c r="H108" i="2"/>
  <c r="I108" i="2" s="1"/>
  <c r="H109" i="2"/>
  <c r="I109" i="2" s="1"/>
  <c r="H110" i="2"/>
  <c r="I110" i="2" s="1"/>
  <c r="H111" i="2"/>
  <c r="I111" i="2" s="1"/>
  <c r="H112" i="2"/>
  <c r="I112" i="2" s="1"/>
  <c r="H113" i="2"/>
  <c r="I113" i="2" s="1"/>
  <c r="H114" i="2"/>
  <c r="I114" i="2" s="1"/>
  <c r="H115" i="2"/>
  <c r="I115" i="2" s="1"/>
  <c r="H116" i="2"/>
  <c r="I116" i="2" s="1"/>
  <c r="H117" i="2"/>
  <c r="I117" i="2" s="1"/>
  <c r="H118" i="2"/>
  <c r="I118" i="2" s="1"/>
  <c r="H119" i="2"/>
  <c r="I119" i="2" s="1"/>
  <c r="H120" i="2"/>
  <c r="I120" i="2" s="1"/>
  <c r="H121" i="2"/>
  <c r="I121" i="2" s="1"/>
  <c r="H122" i="2"/>
  <c r="I122" i="2" s="1"/>
  <c r="H123" i="2"/>
  <c r="I123" i="2" s="1"/>
  <c r="H124" i="2"/>
  <c r="I124" i="2" s="1"/>
  <c r="H125" i="2"/>
  <c r="I125" i="2" s="1"/>
  <c r="H126" i="2"/>
  <c r="I126" i="2" s="1"/>
  <c r="H127" i="2"/>
  <c r="I127" i="2" s="1"/>
  <c r="H128" i="2"/>
  <c r="I128" i="2" s="1"/>
  <c r="H129" i="2"/>
  <c r="I129" i="2" s="1"/>
  <c r="H130" i="2"/>
  <c r="I130" i="2" s="1"/>
  <c r="H131" i="2"/>
  <c r="I131" i="2" s="1"/>
  <c r="H132" i="2"/>
  <c r="I132" i="2" s="1"/>
  <c r="H133" i="2"/>
  <c r="I133" i="2" s="1"/>
  <c r="H134" i="2"/>
  <c r="I134" i="2" s="1"/>
  <c r="H135" i="2"/>
  <c r="I135" i="2" s="1"/>
  <c r="H136" i="2"/>
  <c r="I136" i="2" s="1"/>
  <c r="H137" i="2"/>
  <c r="I137" i="2" s="1"/>
  <c r="H138" i="2"/>
  <c r="I138" i="2" s="1"/>
  <c r="H139" i="2"/>
  <c r="I139" i="2" s="1"/>
  <c r="H140" i="2"/>
  <c r="I140" i="2" s="1"/>
  <c r="H141" i="2"/>
  <c r="I141" i="2" s="1"/>
  <c r="H142" i="2"/>
  <c r="I142" i="2" s="1"/>
  <c r="H143" i="2"/>
  <c r="I143" i="2" s="1"/>
  <c r="H144" i="2"/>
  <c r="I144" i="2" s="1"/>
  <c r="H145" i="2"/>
  <c r="I145" i="2" s="1"/>
  <c r="H146" i="2"/>
  <c r="I146" i="2" s="1"/>
  <c r="H147" i="2"/>
  <c r="I147" i="2" s="1"/>
  <c r="H148" i="2"/>
  <c r="I148" i="2" s="1"/>
  <c r="H149" i="2"/>
  <c r="I149" i="2" s="1"/>
  <c r="H150" i="2"/>
  <c r="I150" i="2" s="1"/>
  <c r="H151" i="2"/>
  <c r="I151" i="2" s="1"/>
  <c r="H152" i="2"/>
  <c r="I152" i="2" s="1"/>
  <c r="H153" i="2"/>
  <c r="I153" i="2" s="1"/>
  <c r="H154" i="2"/>
  <c r="I154" i="2" s="1"/>
  <c r="H155" i="2"/>
  <c r="I155" i="2" s="1"/>
  <c r="H156" i="2"/>
  <c r="I156" i="2" s="1"/>
  <c r="H157" i="2"/>
  <c r="I157" i="2" s="1"/>
  <c r="H158" i="2"/>
  <c r="I158" i="2" s="1"/>
  <c r="H159" i="2"/>
  <c r="I159" i="2" s="1"/>
  <c r="H160" i="2"/>
  <c r="I160" i="2" s="1"/>
  <c r="H161" i="2"/>
  <c r="I161" i="2" s="1"/>
  <c r="H162" i="2"/>
  <c r="I162" i="2" s="1"/>
  <c r="H163" i="2"/>
  <c r="I163" i="2" s="1"/>
  <c r="H164" i="2"/>
  <c r="I164" i="2" s="1"/>
  <c r="H165" i="2"/>
  <c r="I165" i="2" s="1"/>
  <c r="H166" i="2"/>
  <c r="I166" i="2" s="1"/>
  <c r="H167" i="2"/>
  <c r="I167" i="2" s="1"/>
  <c r="H168" i="2"/>
  <c r="I168" i="2" s="1"/>
  <c r="H169" i="2"/>
  <c r="I169" i="2" s="1"/>
  <c r="H170" i="2"/>
  <c r="I170" i="2" s="1"/>
  <c r="H171" i="2"/>
  <c r="I171" i="2" s="1"/>
  <c r="H172" i="2"/>
  <c r="I172" i="2" s="1"/>
  <c r="H173" i="2"/>
  <c r="I173" i="2" s="1"/>
  <c r="H174" i="2"/>
  <c r="I174" i="2" s="1"/>
  <c r="H175" i="2"/>
  <c r="I175" i="2" s="1"/>
  <c r="H176" i="2"/>
  <c r="I176" i="2" s="1"/>
  <c r="H177" i="2"/>
  <c r="I177" i="2" s="1"/>
  <c r="H178" i="2"/>
  <c r="I178" i="2" s="1"/>
  <c r="H179" i="2"/>
  <c r="I179" i="2" s="1"/>
  <c r="H180" i="2"/>
  <c r="I180" i="2" s="1"/>
  <c r="H181" i="2"/>
  <c r="I181" i="2" s="1"/>
  <c r="H182" i="2"/>
  <c r="I182" i="2" s="1"/>
  <c r="H183" i="2"/>
  <c r="I183" i="2" s="1"/>
  <c r="H184" i="2"/>
  <c r="I184" i="2" s="1"/>
  <c r="H185" i="2"/>
  <c r="I185" i="2" s="1"/>
  <c r="H186" i="2"/>
  <c r="I186" i="2" s="1"/>
  <c r="H187" i="2"/>
  <c r="I187" i="2" s="1"/>
  <c r="H188" i="2"/>
  <c r="I188" i="2" s="1"/>
  <c r="H189" i="2"/>
  <c r="I189" i="2" s="1"/>
  <c r="H190" i="2"/>
  <c r="I190" i="2" s="1"/>
  <c r="H191" i="2"/>
  <c r="I191" i="2" s="1"/>
  <c r="H192" i="2"/>
  <c r="I192" i="2" s="1"/>
  <c r="H193" i="2"/>
  <c r="I193" i="2" s="1"/>
  <c r="H194" i="2"/>
  <c r="I194" i="2" s="1"/>
  <c r="H195" i="2"/>
  <c r="I195" i="2" s="1"/>
  <c r="H196" i="2"/>
  <c r="I196" i="2" s="1"/>
  <c r="H197" i="2"/>
  <c r="I197" i="2" s="1"/>
  <c r="H198" i="2"/>
  <c r="I198" i="2" s="1"/>
  <c r="H199" i="2"/>
  <c r="I199" i="2" s="1"/>
  <c r="H200" i="2"/>
  <c r="I200" i="2" s="1"/>
  <c r="H201" i="2"/>
  <c r="I201" i="2" s="1"/>
  <c r="H202" i="2"/>
  <c r="I202" i="2" s="1"/>
  <c r="H203" i="2"/>
  <c r="I203" i="2" s="1"/>
  <c r="H204" i="2"/>
  <c r="I204" i="2" s="1"/>
  <c r="H205" i="2"/>
  <c r="I205" i="2" s="1"/>
  <c r="H206" i="2"/>
  <c r="I206" i="2" s="1"/>
  <c r="H207" i="2"/>
  <c r="I207" i="2" s="1"/>
  <c r="H208" i="2"/>
  <c r="I208" i="2" s="1"/>
  <c r="H209" i="2"/>
  <c r="I209" i="2" s="1"/>
  <c r="H210" i="2"/>
  <c r="I210" i="2" s="1"/>
  <c r="H211" i="2"/>
  <c r="I211" i="2" s="1"/>
  <c r="H212" i="2"/>
  <c r="I212" i="2" s="1"/>
  <c r="H213" i="2"/>
  <c r="I213" i="2" s="1"/>
  <c r="H214" i="2"/>
  <c r="I214" i="2" s="1"/>
  <c r="H215" i="2"/>
  <c r="I215" i="2" s="1"/>
  <c r="H216" i="2"/>
  <c r="I216" i="2" s="1"/>
  <c r="H217" i="2"/>
  <c r="I217" i="2" s="1"/>
  <c r="H218" i="2"/>
  <c r="I218" i="2" s="1"/>
  <c r="H219" i="2"/>
  <c r="I219" i="2" s="1"/>
  <c r="H220" i="2"/>
  <c r="I220" i="2" s="1"/>
  <c r="H221" i="2"/>
  <c r="I221" i="2" s="1"/>
  <c r="H222" i="2"/>
  <c r="I222" i="2" s="1"/>
  <c r="H223" i="2"/>
  <c r="I223" i="2" s="1"/>
  <c r="H224" i="2"/>
  <c r="I224" i="2" s="1"/>
  <c r="H225" i="2"/>
  <c r="I225" i="2" s="1"/>
  <c r="H226" i="2"/>
  <c r="I226" i="2" s="1"/>
  <c r="H227" i="2"/>
  <c r="I227" i="2" s="1"/>
  <c r="H228" i="2"/>
  <c r="I228" i="2" s="1"/>
  <c r="H229" i="2"/>
  <c r="I229" i="2" s="1"/>
  <c r="H230" i="2"/>
  <c r="I230" i="2" s="1"/>
  <c r="H231" i="2"/>
  <c r="I231" i="2" s="1"/>
  <c r="H232" i="2"/>
  <c r="I232" i="2" s="1"/>
  <c r="H233" i="2"/>
  <c r="I233" i="2" s="1"/>
  <c r="H234" i="2"/>
  <c r="I234" i="2" s="1"/>
  <c r="H235" i="2"/>
  <c r="I235" i="2" s="1"/>
  <c r="H236" i="2"/>
  <c r="I236" i="2" s="1"/>
  <c r="H237" i="2"/>
  <c r="I237" i="2" s="1"/>
  <c r="H238" i="2"/>
  <c r="I238" i="2" s="1"/>
  <c r="H239" i="2"/>
  <c r="I239" i="2" s="1"/>
  <c r="H240" i="2"/>
  <c r="I240" i="2" s="1"/>
  <c r="H241" i="2"/>
  <c r="I241" i="2" s="1"/>
  <c r="H242" i="2"/>
  <c r="I242" i="2" s="1"/>
  <c r="H243" i="2"/>
  <c r="I243" i="2" s="1"/>
  <c r="H244" i="2"/>
  <c r="I244" i="2" s="1"/>
  <c r="H245" i="2"/>
  <c r="I245" i="2" s="1"/>
  <c r="H246" i="2"/>
  <c r="I246" i="2" s="1"/>
  <c r="H247" i="2"/>
  <c r="I247" i="2" s="1"/>
  <c r="H248" i="2"/>
  <c r="I248" i="2" s="1"/>
  <c r="H249" i="2"/>
  <c r="I249" i="2" s="1"/>
  <c r="H250" i="2"/>
  <c r="I250" i="2" s="1"/>
  <c r="H251" i="2"/>
  <c r="I251" i="2" s="1"/>
  <c r="H252" i="2"/>
  <c r="I252" i="2" s="1"/>
  <c r="H253" i="2"/>
  <c r="I253" i="2" s="1"/>
  <c r="H254" i="2"/>
  <c r="I254" i="2" s="1"/>
  <c r="H255" i="2"/>
  <c r="I255" i="2" s="1"/>
  <c r="H256" i="2"/>
  <c r="I256" i="2" s="1"/>
  <c r="H257" i="2"/>
  <c r="I257" i="2" s="1"/>
  <c r="H258" i="2"/>
  <c r="I258" i="2" s="1"/>
  <c r="H259" i="2"/>
  <c r="I259" i="2" s="1"/>
  <c r="H260" i="2"/>
  <c r="I260" i="2" s="1"/>
  <c r="H261" i="2"/>
  <c r="I261" i="2" s="1"/>
  <c r="H262" i="2"/>
  <c r="I262" i="2" s="1"/>
  <c r="H263" i="2"/>
  <c r="I263" i="2" s="1"/>
  <c r="H264" i="2"/>
  <c r="I264" i="2" s="1"/>
  <c r="H265" i="2"/>
  <c r="I265" i="2" s="1"/>
  <c r="H266" i="2"/>
  <c r="I266" i="2" s="1"/>
  <c r="H267" i="2"/>
  <c r="I267" i="2" s="1"/>
  <c r="H268" i="2"/>
  <c r="I268" i="2" s="1"/>
  <c r="H269" i="2"/>
  <c r="I269" i="2" s="1"/>
  <c r="H270" i="2"/>
  <c r="I270" i="2" s="1"/>
  <c r="H271" i="2"/>
  <c r="I271" i="2" s="1"/>
  <c r="H272" i="2"/>
  <c r="I272" i="2" s="1"/>
  <c r="H273" i="2"/>
  <c r="I273" i="2" s="1"/>
  <c r="H274" i="2"/>
  <c r="I274" i="2" s="1"/>
  <c r="H275" i="2"/>
  <c r="I275" i="2" s="1"/>
  <c r="H276" i="2"/>
  <c r="I276" i="2" s="1"/>
  <c r="H277" i="2"/>
  <c r="I277" i="2" s="1"/>
  <c r="H278" i="2"/>
  <c r="I278" i="2" s="1"/>
  <c r="H279" i="2"/>
  <c r="I279" i="2" s="1"/>
  <c r="H280" i="2"/>
  <c r="I280" i="2" s="1"/>
  <c r="H281" i="2"/>
  <c r="I281" i="2" s="1"/>
  <c r="H282" i="2"/>
  <c r="I282" i="2" s="1"/>
  <c r="H283" i="2"/>
  <c r="I283" i="2" s="1"/>
  <c r="H284" i="2"/>
  <c r="I284" i="2" s="1"/>
  <c r="H285" i="2"/>
  <c r="I285" i="2" s="1"/>
  <c r="H286" i="2"/>
  <c r="I286" i="2" s="1"/>
  <c r="H287" i="2"/>
  <c r="I287" i="2" s="1"/>
  <c r="H288" i="2"/>
  <c r="I288" i="2" s="1"/>
  <c r="H289" i="2"/>
  <c r="I289" i="2" s="1"/>
  <c r="H290" i="2"/>
  <c r="I290" i="2" s="1"/>
  <c r="H291" i="2"/>
  <c r="I291" i="2" s="1"/>
  <c r="H292" i="2"/>
  <c r="I292" i="2" s="1"/>
  <c r="H293" i="2"/>
  <c r="I293" i="2" s="1"/>
  <c r="H294" i="2"/>
  <c r="I294" i="2" s="1"/>
  <c r="H295" i="2"/>
  <c r="I295" i="2" s="1"/>
  <c r="H296" i="2"/>
  <c r="I296" i="2" s="1"/>
  <c r="H297" i="2"/>
  <c r="I297" i="2" s="1"/>
  <c r="H298" i="2"/>
  <c r="I298" i="2" s="1"/>
  <c r="H299" i="2"/>
  <c r="I299" i="2" s="1"/>
  <c r="H300" i="2"/>
  <c r="I300" i="2" s="1"/>
  <c r="H301" i="2"/>
  <c r="I301" i="2" s="1"/>
  <c r="H302" i="2"/>
  <c r="I302" i="2" s="1"/>
  <c r="H303" i="2"/>
  <c r="I303" i="2" s="1"/>
  <c r="H304" i="2"/>
  <c r="I304" i="2" s="1"/>
  <c r="H305" i="2"/>
  <c r="I305" i="2" s="1"/>
  <c r="H306" i="2"/>
  <c r="I306" i="2" s="1"/>
  <c r="H307" i="2"/>
  <c r="I307" i="2" s="1"/>
  <c r="H308" i="2"/>
  <c r="I308" i="2" s="1"/>
  <c r="H309" i="2"/>
  <c r="I309" i="2" s="1"/>
  <c r="H310" i="2"/>
  <c r="I310" i="2" s="1"/>
  <c r="H311" i="2"/>
  <c r="I311" i="2" s="1"/>
  <c r="H312" i="2"/>
  <c r="I312" i="2" s="1"/>
  <c r="H313" i="2"/>
  <c r="I313" i="2" s="1"/>
  <c r="H314" i="2"/>
  <c r="I314" i="2" s="1"/>
  <c r="H315" i="2"/>
  <c r="I315" i="2" s="1"/>
  <c r="H316" i="2"/>
  <c r="I316" i="2" s="1"/>
  <c r="H317" i="2"/>
  <c r="I317" i="2" s="1"/>
  <c r="H318" i="2"/>
  <c r="I318" i="2" s="1"/>
  <c r="H319" i="2"/>
  <c r="I319" i="2" s="1"/>
  <c r="H320" i="2"/>
  <c r="I320" i="2" s="1"/>
  <c r="H321" i="2"/>
  <c r="I321" i="2" s="1"/>
  <c r="H322" i="2"/>
  <c r="I322" i="2" s="1"/>
  <c r="H323" i="2"/>
  <c r="I323" i="2" s="1"/>
  <c r="H324" i="2"/>
  <c r="I324" i="2" s="1"/>
  <c r="H325" i="2"/>
  <c r="I325" i="2" s="1"/>
  <c r="H326" i="2"/>
  <c r="I326" i="2" s="1"/>
  <c r="H327" i="2"/>
  <c r="I327" i="2" s="1"/>
  <c r="H328" i="2"/>
  <c r="I328" i="2" s="1"/>
  <c r="H329" i="2"/>
  <c r="I329" i="2" s="1"/>
  <c r="H330" i="2"/>
  <c r="I330" i="2" s="1"/>
  <c r="H331" i="2"/>
  <c r="I331" i="2" s="1"/>
  <c r="H332" i="2"/>
  <c r="I332" i="2" s="1"/>
  <c r="H333" i="2"/>
  <c r="I333" i="2" s="1"/>
  <c r="H334" i="2"/>
  <c r="I334" i="2" s="1"/>
  <c r="H335" i="2"/>
  <c r="I335" i="2" s="1"/>
  <c r="H336" i="2"/>
  <c r="I336" i="2" s="1"/>
  <c r="H337" i="2"/>
  <c r="I337" i="2" s="1"/>
  <c r="H338" i="2"/>
  <c r="I338" i="2" s="1"/>
  <c r="H339" i="2"/>
  <c r="I339" i="2" s="1"/>
  <c r="H340" i="2"/>
  <c r="I340" i="2" s="1"/>
  <c r="H341" i="2"/>
  <c r="I341" i="2" s="1"/>
  <c r="H342" i="2"/>
  <c r="I342" i="2" s="1"/>
  <c r="H343" i="2"/>
  <c r="I343" i="2" s="1"/>
  <c r="H344" i="2"/>
  <c r="I344" i="2" s="1"/>
  <c r="H345" i="2"/>
  <c r="I345" i="2" s="1"/>
  <c r="H346" i="2"/>
  <c r="I346" i="2" s="1"/>
  <c r="H347" i="2"/>
  <c r="I347" i="2" s="1"/>
  <c r="H348" i="2"/>
  <c r="I348" i="2" s="1"/>
  <c r="H349" i="2"/>
  <c r="I349" i="2" s="1"/>
  <c r="H350" i="2"/>
  <c r="I350" i="2" s="1"/>
  <c r="H351" i="2"/>
  <c r="I351" i="2" s="1"/>
  <c r="H352" i="2"/>
  <c r="I352" i="2" s="1"/>
  <c r="H353" i="2"/>
  <c r="I353" i="2" s="1"/>
  <c r="H354" i="2"/>
  <c r="I354" i="2" s="1"/>
  <c r="H355" i="2"/>
  <c r="I355" i="2" s="1"/>
  <c r="H356" i="2"/>
  <c r="I356" i="2" s="1"/>
  <c r="H357" i="2"/>
  <c r="I357" i="2" s="1"/>
  <c r="H358" i="2"/>
  <c r="I358" i="2" s="1"/>
  <c r="H359" i="2"/>
  <c r="I359" i="2" s="1"/>
  <c r="H360" i="2"/>
  <c r="I360" i="2" s="1"/>
  <c r="H361" i="2"/>
  <c r="I361" i="2" s="1"/>
  <c r="H362" i="2"/>
  <c r="I362" i="2" s="1"/>
  <c r="H363" i="2"/>
  <c r="I363" i="2" s="1"/>
  <c r="H364" i="2"/>
  <c r="I364" i="2" s="1"/>
  <c r="H365" i="2"/>
  <c r="I365" i="2" s="1"/>
  <c r="H366" i="2"/>
  <c r="I366" i="2" s="1"/>
  <c r="H367" i="2"/>
  <c r="I367" i="2" s="1"/>
  <c r="H368" i="2"/>
  <c r="I368" i="2" s="1"/>
  <c r="H369" i="2"/>
  <c r="I369" i="2" s="1"/>
  <c r="H370" i="2"/>
  <c r="I370" i="2" s="1"/>
  <c r="H371" i="2"/>
  <c r="I371" i="2" s="1"/>
  <c r="H372" i="2"/>
  <c r="I372" i="2" s="1"/>
  <c r="H373" i="2"/>
  <c r="I373" i="2" s="1"/>
  <c r="H2" i="2"/>
  <c r="R2" i="2" s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I2" i="2" l="1"/>
</calcChain>
</file>

<file path=xl/sharedStrings.xml><?xml version="1.0" encoding="utf-8"?>
<sst xmlns="http://schemas.openxmlformats.org/spreadsheetml/2006/main" count="1136" uniqueCount="408">
  <si>
    <t>Rating</t>
  </si>
  <si>
    <t>Age</t>
  </si>
  <si>
    <t>Salary</t>
  </si>
  <si>
    <t>Naveen Menon</t>
  </si>
  <si>
    <t xml:space="preserve">Human Resources </t>
  </si>
  <si>
    <t>HR</t>
  </si>
  <si>
    <t>Preeti Khatri</t>
  </si>
  <si>
    <t xml:space="preserve">Research and Development </t>
  </si>
  <si>
    <t>R&amp;D</t>
  </si>
  <si>
    <t>Arjun Mehta</t>
  </si>
  <si>
    <t xml:space="preserve">Technology Solutions </t>
  </si>
  <si>
    <t>TechSol</t>
  </si>
  <si>
    <t>Aisha Kapoor</t>
  </si>
  <si>
    <t xml:space="preserve">Sales and Business Development </t>
  </si>
  <si>
    <t>SalesBD</t>
  </si>
  <si>
    <t>Siddharth Sharma</t>
  </si>
  <si>
    <t xml:space="preserve">Operations and Logistics </t>
  </si>
  <si>
    <t>OpsLog</t>
  </si>
  <si>
    <t>Neha Singh</t>
  </si>
  <si>
    <t>Rajiv Verma</t>
  </si>
  <si>
    <t xml:space="preserve">Finance and Accounting </t>
  </si>
  <si>
    <t>FinAcc</t>
  </si>
  <si>
    <t>Roshni Patel</t>
  </si>
  <si>
    <t>Vikrant Reddy</t>
  </si>
  <si>
    <t>Anusha Kumar</t>
  </si>
  <si>
    <t>Rahul Kapoor</t>
  </si>
  <si>
    <t>Aishwarya Nair</t>
  </si>
  <si>
    <t>Akshay Mishra</t>
  </si>
  <si>
    <t>Divya Khurana</t>
  </si>
  <si>
    <t>Karthik Reddy</t>
  </si>
  <si>
    <t>Shruti Mehra</t>
  </si>
  <si>
    <t>Varun Khanna</t>
  </si>
  <si>
    <t>Sneha Kapoor</t>
  </si>
  <si>
    <t>Ravi Malhotra</t>
  </si>
  <si>
    <t>Tanvi Sharma</t>
  </si>
  <si>
    <t>Pranav Iyer</t>
  </si>
  <si>
    <t xml:space="preserve">Customer Support </t>
  </si>
  <si>
    <t>CustSup</t>
  </si>
  <si>
    <t>Riya Choudhury</t>
  </si>
  <si>
    <t>Vimal Tiwari</t>
  </si>
  <si>
    <t>Anjali Yadav</t>
  </si>
  <si>
    <t>Arun Kumar</t>
  </si>
  <si>
    <t>Nidhi Sharma</t>
  </si>
  <si>
    <t>Prateek Singh</t>
  </si>
  <si>
    <t>Nisha Verma</t>
  </si>
  <si>
    <t>Rajeev Desai</t>
  </si>
  <si>
    <t>Meera Patel</t>
  </si>
  <si>
    <t>Prashant Mehra</t>
  </si>
  <si>
    <t>Tanisha Gupta</t>
  </si>
  <si>
    <t xml:space="preserve">Marketing and Communications </t>
  </si>
  <si>
    <t>MarComm</t>
  </si>
  <si>
    <t>Rohan Kapoor</t>
  </si>
  <si>
    <t>Simran Ahuja</t>
  </si>
  <si>
    <t>Akash Sharma</t>
  </si>
  <si>
    <t>Ananya Joshi</t>
  </si>
  <si>
    <t>Sameer Agarwal</t>
  </si>
  <si>
    <t>Ritu Chaturvedi</t>
  </si>
  <si>
    <t>Ashish Kapoor</t>
  </si>
  <si>
    <t>Meenal Shah</t>
  </si>
  <si>
    <t>Diya Agarwal</t>
  </si>
  <si>
    <t>Vivaan Reddy</t>
  </si>
  <si>
    <t>Sneha Saxena</t>
  </si>
  <si>
    <t>Sahil Malhotra</t>
  </si>
  <si>
    <t>Kavya Kapoor</t>
  </si>
  <si>
    <t>Aarav Mehta</t>
  </si>
  <si>
    <t>Ananya Agarwal</t>
  </si>
  <si>
    <t>Armaan Khanna</t>
  </si>
  <si>
    <t>Ayesha Verma</t>
  </si>
  <si>
    <t>Harish Patel</t>
  </si>
  <si>
    <t>Avni Kapoor</t>
  </si>
  <si>
    <t>Dinesh Sharma</t>
  </si>
  <si>
    <t>Tanisha Reddy</t>
  </si>
  <si>
    <t>Yash Saxena</t>
  </si>
  <si>
    <t>Shraddha Mehra</t>
  </si>
  <si>
    <t>Vikas Tiwari</t>
  </si>
  <si>
    <t>Zara Choudhury</t>
  </si>
  <si>
    <t>Vipul Gupta</t>
  </si>
  <si>
    <t>Aditi Joshi</t>
  </si>
  <si>
    <t>Karan Kumar</t>
  </si>
  <si>
    <t>Anushka Nair</t>
  </si>
  <si>
    <t>Rohan Malhotra</t>
  </si>
  <si>
    <t>Preeti Verma</t>
  </si>
  <si>
    <t>Arnav Khatri</t>
  </si>
  <si>
    <t>Shreya Yadav</t>
  </si>
  <si>
    <t>Rajesh Agarwal</t>
  </si>
  <si>
    <t>Kirti Chaturvedi</t>
  </si>
  <si>
    <t>Karthik Kapoor</t>
  </si>
  <si>
    <t>Aarohi Patel</t>
  </si>
  <si>
    <t>Parth Sharma</t>
  </si>
  <si>
    <t>Sanika Kapoor</t>
  </si>
  <si>
    <t>Anvi Agnihotri</t>
  </si>
  <si>
    <t>Rishabh Kapoor</t>
  </si>
  <si>
    <t>Saanvi Tiwari</t>
  </si>
  <si>
    <t>Yash Malhotra</t>
  </si>
  <si>
    <t>Shreya Singh</t>
  </si>
  <si>
    <t>Abhinav Patel</t>
  </si>
  <si>
    <t>Akriti Mehra</t>
  </si>
  <si>
    <t>Advait Khatri</t>
  </si>
  <si>
    <t>Trisha Yadav</t>
  </si>
  <si>
    <t>Kunal Kapoor</t>
  </si>
  <si>
    <t>Riya Sharma</t>
  </si>
  <si>
    <t>Pranav Verma</t>
  </si>
  <si>
    <t>Aanya Choudhury</t>
  </si>
  <si>
    <t>Ayush Mehra</t>
  </si>
  <si>
    <t>Khushi Kapoor</t>
  </si>
  <si>
    <t>Om Saxena</t>
  </si>
  <si>
    <t>Saumya Reddy</t>
  </si>
  <si>
    <t>Virat Kapoor</t>
  </si>
  <si>
    <t>Ishita Joshi</t>
  </si>
  <si>
    <t>Aniket Khatri</t>
  </si>
  <si>
    <t>Aaradhya Nair</t>
  </si>
  <si>
    <t>Arnav Sharma</t>
  </si>
  <si>
    <t>Aditi Saxena</t>
  </si>
  <si>
    <t>Vedant Kapoor</t>
  </si>
  <si>
    <t>Ishaan Malhotra</t>
  </si>
  <si>
    <t>Anusha Patel</t>
  </si>
  <si>
    <t>Krish Kapoor</t>
  </si>
  <si>
    <t>Arjun Khatri</t>
  </si>
  <si>
    <t>Anvi Tiwari</t>
  </si>
  <si>
    <t>Aryan Sharma</t>
  </si>
  <si>
    <t>Riya Khanna</t>
  </si>
  <si>
    <t>Yuvraj Kapoor</t>
  </si>
  <si>
    <t>Sanjana Verma</t>
  </si>
  <si>
    <t>Harsh Kumar</t>
  </si>
  <si>
    <t>Avni Yadav</t>
  </si>
  <si>
    <t>Varun Agarwal</t>
  </si>
  <si>
    <t>Kashish Chaturvedi</t>
  </si>
  <si>
    <t>Rohit Kapoor</t>
  </si>
  <si>
    <t>Prisha Sharma</t>
  </si>
  <si>
    <t>Shivansh Malhotra</t>
  </si>
  <si>
    <t>Anjali Joshi</t>
  </si>
  <si>
    <t>Aarush Sharma</t>
  </si>
  <si>
    <t>Kavya Gupta</t>
  </si>
  <si>
    <t>Aradhya Kapoor</t>
  </si>
  <si>
    <t>Daksh Patel</t>
  </si>
  <si>
    <t>Aarohi Malhotra</t>
  </si>
  <si>
    <t>Saanvi Kumar</t>
  </si>
  <si>
    <t>Vedika Tiwari</t>
  </si>
  <si>
    <t>Ansh Khatri</t>
  </si>
  <si>
    <t>Arnav Desai</t>
  </si>
  <si>
    <t>Vanya Yadav</t>
  </si>
  <si>
    <t>Aarav Agarwal</t>
  </si>
  <si>
    <t>Tanishka Kapoor</t>
  </si>
  <si>
    <t>Aryan Khatri</t>
  </si>
  <si>
    <t>Avisha Patel</t>
  </si>
  <si>
    <t>Anshuman Kapoor</t>
  </si>
  <si>
    <t>Aradhana Patel</t>
  </si>
  <si>
    <t>Aarav Tiwari</t>
  </si>
  <si>
    <t>Yash Kapoor</t>
  </si>
  <si>
    <t>Anaya Yadav</t>
  </si>
  <si>
    <t>Aniket Kumar</t>
  </si>
  <si>
    <t>Sanya Verma</t>
  </si>
  <si>
    <t>Pranav Patel</t>
  </si>
  <si>
    <t>Aashi Malhotra</t>
  </si>
  <si>
    <t>Aditya Sharma</t>
  </si>
  <si>
    <t>Kritika Chaturvedi</t>
  </si>
  <si>
    <t>Varun Kapoor</t>
  </si>
  <si>
    <t>Ananya Desai</t>
  </si>
  <si>
    <t>Arjun Sharma</t>
  </si>
  <si>
    <t>Aishani Kapoor</t>
  </si>
  <si>
    <t>Rohit Kumar</t>
  </si>
  <si>
    <t>Arjun Patel</t>
  </si>
  <si>
    <t>Aisha Sharma</t>
  </si>
  <si>
    <t>Vikram Singh</t>
  </si>
  <si>
    <t>Ananya Gupta</t>
  </si>
  <si>
    <t>Priya Verma</t>
  </si>
  <si>
    <t>Aditya Choudhury</t>
  </si>
  <si>
    <t>Nandini Yadav</t>
  </si>
  <si>
    <t>Rajat Kapoor</t>
  </si>
  <si>
    <t>Aishwarya Reddy</t>
  </si>
  <si>
    <t>Siddharth Joshi</t>
  </si>
  <si>
    <t>Divya Mehra</t>
  </si>
  <si>
    <t>Akash Tiwari</t>
  </si>
  <si>
    <t>Pooja Malhotra</t>
  </si>
  <si>
    <t>Kunal Sharma</t>
  </si>
  <si>
    <t>Swati Kapoor</t>
  </si>
  <si>
    <t>Raghav Gupta</t>
  </si>
  <si>
    <t>Sneha Singh</t>
  </si>
  <si>
    <t>Rahul Desai</t>
  </si>
  <si>
    <t>Tanvi Patel</t>
  </si>
  <si>
    <t>Aditya Mishra</t>
  </si>
  <si>
    <t>Anika Singh</t>
  </si>
  <si>
    <t>Pranav Rajput</t>
  </si>
  <si>
    <t>Jyoti Sharma</t>
  </si>
  <si>
    <t>Arnav Deshmukh</t>
  </si>
  <si>
    <t>Shruti Iyer</t>
  </si>
  <si>
    <t>Varun Singhania</t>
  </si>
  <si>
    <t>Riya Kapoor</t>
  </si>
  <si>
    <t>Raj Malik</t>
  </si>
  <si>
    <t>Nidhi Gupta</t>
  </si>
  <si>
    <t>Rohan Sharma</t>
  </si>
  <si>
    <t>Simran Khanna</t>
  </si>
  <si>
    <t>Akshay Joshi</t>
  </si>
  <si>
    <t>Ritu Choudhury</t>
  </si>
  <si>
    <t>Aryan Kapoor</t>
  </si>
  <si>
    <t>Diya Agnihotri</t>
  </si>
  <si>
    <t>Neha Saxena</t>
  </si>
  <si>
    <t>Sahil Sharma</t>
  </si>
  <si>
    <t>Kavya Singh</t>
  </si>
  <si>
    <t>Aarav Mishra</t>
  </si>
  <si>
    <t>Armaan Kapoor</t>
  </si>
  <si>
    <t>Harshad Patel</t>
  </si>
  <si>
    <t>Dhruv Sharma</t>
  </si>
  <si>
    <t>Yuvraj Singh</t>
  </si>
  <si>
    <t>Vedant Tiwari</t>
  </si>
  <si>
    <t>Zara Malhotra</t>
  </si>
  <si>
    <t>Vikrant Gupta</t>
  </si>
  <si>
    <t>Karan Desai</t>
  </si>
  <si>
    <t>Anushka Iyer</t>
  </si>
  <si>
    <t>Rohan Malik</t>
  </si>
  <si>
    <t>Arnav Kapoor</t>
  </si>
  <si>
    <t>Rahul Agarwal</t>
  </si>
  <si>
    <t>Kirti Choudhury</t>
  </si>
  <si>
    <t>Karthik Singh</t>
  </si>
  <si>
    <t>Parth Rajput</t>
  </si>
  <si>
    <t>Sanika Sharma</t>
  </si>
  <si>
    <t>Aryan Khanna</t>
  </si>
  <si>
    <t>Rishabh Gupta</t>
  </si>
  <si>
    <t>Saanvi Joshi</t>
  </si>
  <si>
    <t>Abhishek Patel</t>
  </si>
  <si>
    <t>Advait Sharma</t>
  </si>
  <si>
    <t>Riya Rajput</t>
  </si>
  <si>
    <t>Aanya Desai</t>
  </si>
  <si>
    <t>Khushi Agarwal</t>
  </si>
  <si>
    <t>Om Kapoor</t>
  </si>
  <si>
    <t>Virat Gupta</t>
  </si>
  <si>
    <t>Aniket Choudhury</t>
  </si>
  <si>
    <t>Aaradhya Singh</t>
  </si>
  <si>
    <t>Ishaan Malik</t>
  </si>
  <si>
    <t>Ananya Patel</t>
  </si>
  <si>
    <t>Krish Rajput</t>
  </si>
  <si>
    <t>Arjun Khanna</t>
  </si>
  <si>
    <t>Aryan Singh</t>
  </si>
  <si>
    <t>Yuvraj Sharma</t>
  </si>
  <si>
    <t>Harsh Desai</t>
  </si>
  <si>
    <t>Kashish Choudhury</t>
  </si>
  <si>
    <t>Prisha Singh</t>
  </si>
  <si>
    <t>Shivansh Mehra</t>
  </si>
  <si>
    <t>Aarush Rajput</t>
  </si>
  <si>
    <t>Aradhya Sharma</t>
  </si>
  <si>
    <t>Aarohi Mehra</t>
  </si>
  <si>
    <t>Rishabh Singh</t>
  </si>
  <si>
    <t>Saanvi Kapoor</t>
  </si>
  <si>
    <t>Ansh Malik</t>
  </si>
  <si>
    <t>Tanishka Singh</t>
  </si>
  <si>
    <t>Karan Sharma</t>
  </si>
  <si>
    <t>Anshuman Gupta</t>
  </si>
  <si>
    <t>Aradhana Singh</t>
  </si>
  <si>
    <t>Riya Singh</t>
  </si>
  <si>
    <t>Aniket Sharma</t>
  </si>
  <si>
    <t>Aashi Mehra</t>
  </si>
  <si>
    <t>Aditya Singh</t>
  </si>
  <si>
    <t>Kritika Choudhury</t>
  </si>
  <si>
    <t>Arjun Rajput</t>
  </si>
  <si>
    <t>Aishani Gupta</t>
  </si>
  <si>
    <t>Rohit Sharma</t>
  </si>
  <si>
    <t>John Smith</t>
  </si>
  <si>
    <t>Emily Johnson</t>
  </si>
  <si>
    <t>Michael Davis</t>
  </si>
  <si>
    <t>Sarah Wilson</t>
  </si>
  <si>
    <t>Christopher Brown</t>
  </si>
  <si>
    <t>Jessica Miller</t>
  </si>
  <si>
    <t>Matthew Taylor</t>
  </si>
  <si>
    <t>Olivia Anderson</t>
  </si>
  <si>
    <t>David Martinez</t>
  </si>
  <si>
    <t>Sophia Moore</t>
  </si>
  <si>
    <t>Daniel Thompson</t>
  </si>
  <si>
    <t>Chloe Garcia</t>
  </si>
  <si>
    <t>Andrew Robinson</t>
  </si>
  <si>
    <t>Emma Hernandez</t>
  </si>
  <si>
    <t>James Lee</t>
  </si>
  <si>
    <t>Ava Smith</t>
  </si>
  <si>
    <t>Nicholas White</t>
  </si>
  <si>
    <t>Madison Hall</t>
  </si>
  <si>
    <t>Joseph Clark</t>
  </si>
  <si>
    <t>Mia Turner</t>
  </si>
  <si>
    <t>William Harris</t>
  </si>
  <si>
    <t>Isabella Allen</t>
  </si>
  <si>
    <t>Ethan Nelson</t>
  </si>
  <si>
    <t>Grace Young</t>
  </si>
  <si>
    <t>Alexander Davis</t>
  </si>
  <si>
    <t>Lily Moore</t>
  </si>
  <si>
    <t>Christopher Wright</t>
  </si>
  <si>
    <t>Addison Johnson</t>
  </si>
  <si>
    <t>Benjamin Walker</t>
  </si>
  <si>
    <t>Zoey Taylor</t>
  </si>
  <si>
    <t>Samuel Miller</t>
  </si>
  <si>
    <t>Natalie Garcia</t>
  </si>
  <si>
    <t>Aiden Hall</t>
  </si>
  <si>
    <t>Sophia Rodriguez</t>
  </si>
  <si>
    <t>Logan Martinez</t>
  </si>
  <si>
    <t>Abigail Adams</t>
  </si>
  <si>
    <t>Henry Brown</t>
  </si>
  <si>
    <t>Ella Thompson</t>
  </si>
  <si>
    <t>Gabriel Robinson</t>
  </si>
  <si>
    <t>Avery Harris</t>
  </si>
  <si>
    <t>Jackson Young</t>
  </si>
  <si>
    <t>Harper Allen</t>
  </si>
  <si>
    <t>Ryan Nelson</t>
  </si>
  <si>
    <t>Scarlett Turner</t>
  </si>
  <si>
    <t>Dylan Smith</t>
  </si>
  <si>
    <t>Penelope Davis</t>
  </si>
  <si>
    <t>Caleb Moore</t>
  </si>
  <si>
    <t>Victoria Wright</t>
  </si>
  <si>
    <t>Mason Johnson</t>
  </si>
  <si>
    <t>Aria Taylor</t>
  </si>
  <si>
    <t>Liam Miller</t>
  </si>
  <si>
    <t>Layla Garcia</t>
  </si>
  <si>
    <t>Owen Hall</t>
  </si>
  <si>
    <t>Zoey Martinez</t>
  </si>
  <si>
    <t>Caleb Young</t>
  </si>
  <si>
    <t>Stella Thompson</t>
  </si>
  <si>
    <t>Wyatt Robinson</t>
  </si>
  <si>
    <t>Grace Adams</t>
  </si>
  <si>
    <t>Luke Brown</t>
  </si>
  <si>
    <t>Aubrey Harris</t>
  </si>
  <si>
    <t>Isaac Turner</t>
  </si>
  <si>
    <t>Savannah Smith</t>
  </si>
  <si>
    <t>Gabriel Davis</t>
  </si>
  <si>
    <t>Nora Moore</t>
  </si>
  <si>
    <t>Dylan Wright</t>
  </si>
  <si>
    <t>Paisley Johnson</t>
  </si>
  <si>
    <t>Ellie Taylor</t>
  </si>
  <si>
    <t>Nathan Hall</t>
  </si>
  <si>
    <t>Bella Robinson</t>
  </si>
  <si>
    <t>Elijah Adams</t>
  </si>
  <si>
    <t>Addison Harris</t>
  </si>
  <si>
    <t>Landon Turner</t>
  </si>
  <si>
    <t>Brooklyn Smith</t>
  </si>
  <si>
    <t>Nicholas Davis</t>
  </si>
  <si>
    <t>Scarlett Moore</t>
  </si>
  <si>
    <t>Zoe Johnson</t>
  </si>
  <si>
    <t>Logan Hall</t>
  </si>
  <si>
    <t>Leah Taylor</t>
  </si>
  <si>
    <t>Owen Robinson</t>
  </si>
  <si>
    <t>Daniel Brown</t>
  </si>
  <si>
    <t>Lily Harris</t>
  </si>
  <si>
    <t>Benjamin Turner</t>
  </si>
  <si>
    <t>Emma Smith</t>
  </si>
  <si>
    <t>Samuel Davis</t>
  </si>
  <si>
    <t>Avery Moore</t>
  </si>
  <si>
    <t>Henry Wright</t>
  </si>
  <si>
    <t>Sophia Johnson</t>
  </si>
  <si>
    <t>Caleb Hall</t>
  </si>
  <si>
    <t>Ava Taylor</t>
  </si>
  <si>
    <t>Oliver Robinson</t>
  </si>
  <si>
    <t>Isabella Adams</t>
  </si>
  <si>
    <t>Lucas Smith</t>
  </si>
  <si>
    <t>Scarlett Harris</t>
  </si>
  <si>
    <t>Wyatt Turner</t>
  </si>
  <si>
    <t>Chloe Brown</t>
  </si>
  <si>
    <t>Mason Smith</t>
  </si>
  <si>
    <t>Grace Robinson</t>
  </si>
  <si>
    <t>Harper Adams</t>
  </si>
  <si>
    <t>Samuel Harris</t>
  </si>
  <si>
    <t>Madison Turner</t>
  </si>
  <si>
    <t>Ethan Wright</t>
  </si>
  <si>
    <t>Ella Johnson</t>
  </si>
  <si>
    <t>Logan Davis</t>
  </si>
  <si>
    <t>Lily Smith</t>
  </si>
  <si>
    <t>Elijah Hall</t>
  </si>
  <si>
    <t>Addison Taylor</t>
  </si>
  <si>
    <t>Gabriel Moore</t>
  </si>
  <si>
    <t>Ava Turner</t>
  </si>
  <si>
    <t>Emma Robinson</t>
  </si>
  <si>
    <t>Jackson Harris</t>
  </si>
  <si>
    <t>Sophia Smith</t>
  </si>
  <si>
    <t>William Adams</t>
  </si>
  <si>
    <t>Olivia Turner</t>
  </si>
  <si>
    <t>Benjamin Moore</t>
  </si>
  <si>
    <t>Mia Davis</t>
  </si>
  <si>
    <t>Christopher Hall</t>
  </si>
  <si>
    <t>Harper Johnson</t>
  </si>
  <si>
    <t>Samuel Wright</t>
  </si>
  <si>
    <t>Grace Smith</t>
  </si>
  <si>
    <t>Ethan Adams</t>
  </si>
  <si>
    <t>Logan Harris</t>
  </si>
  <si>
    <t>Isabella Brown</t>
  </si>
  <si>
    <t>Lucas Robinson</t>
  </si>
  <si>
    <t>Scarlett Smith</t>
  </si>
  <si>
    <t>Caleb Turner</t>
  </si>
  <si>
    <t>Zoey Moore</t>
  </si>
  <si>
    <t>Liam Davis</t>
  </si>
  <si>
    <t>Stella Johnson</t>
  </si>
  <si>
    <t>Sophia Adams</t>
  </si>
  <si>
    <t>Benjamin Smith</t>
  </si>
  <si>
    <t>Harper Turner</t>
  </si>
  <si>
    <t>Ella Robinson</t>
  </si>
  <si>
    <t>Logan Moore</t>
  </si>
  <si>
    <t>Olivia Johnson</t>
  </si>
  <si>
    <t>Grace Davis</t>
  </si>
  <si>
    <t>Department</t>
  </si>
  <si>
    <t>Employee Name</t>
  </si>
  <si>
    <t>Date of Joining</t>
  </si>
  <si>
    <t>Joining Year</t>
  </si>
  <si>
    <t>Department Code</t>
  </si>
  <si>
    <t>Total Experience (Years)</t>
  </si>
  <si>
    <t>Tenure</t>
  </si>
  <si>
    <t>→ 25th percentile (Q1)</t>
  </si>
  <si>
    <t>→ 50th percentile (Q2)</t>
  </si>
  <si>
    <t>→ 75th percentile (Q3)</t>
  </si>
  <si>
    <t>Grade</t>
  </si>
  <si>
    <t>Pay Scale</t>
  </si>
  <si>
    <t>Joining Month</t>
  </si>
  <si>
    <t>Joining Quarter</t>
  </si>
  <si>
    <t>Career Level</t>
  </si>
  <si>
    <t>Retirement Proximity (Years)</t>
  </si>
  <si>
    <t>Performance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</si>
</sst>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"/>
  </numFmts>
  <fonts count="4" x14ac:knownFonts="1">
    <font>
      <sz val="10"/>
      <color rgb="FF000000"/>
      <name val="Arial"/>
      <scheme val="minor"/>
    </font>
    <font>
      <sz val="10"/>
      <color theme="1"/>
      <name val="Tahoma"/>
    </font>
    <font>
      <b/>
      <sz val="11"/>
      <color theme="1"/>
      <name val="Tahoma"/>
      <family val="2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164" fontId="0" fillId="0" borderId="0" xfId="0" applyNumberFormat="1"/>
    <xf numFmtId="1" fontId="0" fillId="0" borderId="0" xfId="0" applyNumberFormat="1"/>
    <xf numFmtId="0" fontId="0" fillId="0" borderId="2" xfId="0" applyBorder="1"/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1" fillId="0" borderId="0" xfId="0" applyFo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DFCA-B69E-448F-B364-9594D0EF0C1A}">
  <sheetPr>
    <outlinePr summaryBelow="0" summaryRight="0"/>
  </sheetPr>
  <dimension ref="A1:T374"/>
  <sheetViews>
    <sheetView tabSelected="1" zoomScale="46" zoomScaleNormal="74" workbookViewId="0">
      <selection activeCell="D10" sqref="D10"/>
    </sheetView>
  </sheetViews>
  <sheetFormatPr defaultColWidth="12.6328125" defaultRowHeight="15.75" customHeight="1" x14ac:dyDescent="0.25"/>
  <cols>
    <col min="1" max="1" width="23.453125" bestFit="1" customWidth="1"/>
    <col min="2" max="2" width="28.453125" bestFit="1" customWidth="1"/>
    <col min="3" max="3" width="25.1796875" bestFit="1" customWidth="1"/>
    <col min="4" max="4" width="22.90625" style="1" bestFit="1" customWidth="1"/>
    <col min="5" max="7" width="22.90625" style="1" customWidth="1"/>
    <col min="8" max="8" width="34.453125" style="1" bestFit="1" customWidth="1"/>
    <col min="9" max="9" width="27.453125" style="1" customWidth="1"/>
    <col min="10" max="10" width="13.453125" style="1" bestFit="1" customWidth="1"/>
    <col min="11" max="11" width="15.453125" bestFit="1" customWidth="1"/>
    <col min="12" max="12" width="36.08984375" bestFit="1" customWidth="1"/>
    <col min="13" max="13" width="12.90625" style="2" bestFit="1" customWidth="1"/>
    <col min="14" max="14" width="25" customWidth="1"/>
    <col min="15" max="15" width="42.453125" bestFit="1" customWidth="1"/>
    <col min="16" max="16" width="15.7265625" style="3" customWidth="1"/>
    <col min="17" max="17" width="17.26953125" bestFit="1" customWidth="1"/>
    <col min="18" max="18" width="17.26953125" hidden="1" customWidth="1"/>
    <col min="19" max="21" width="0" hidden="1" customWidth="1"/>
  </cols>
  <sheetData>
    <row r="1" spans="1:20" ht="14" x14ac:dyDescent="0.3">
      <c r="A1" s="6" t="s">
        <v>392</v>
      </c>
      <c r="B1" s="6" t="s">
        <v>391</v>
      </c>
      <c r="C1" s="6" t="s">
        <v>395</v>
      </c>
      <c r="D1" s="7" t="s">
        <v>393</v>
      </c>
      <c r="E1" s="7" t="s">
        <v>394</v>
      </c>
      <c r="F1" s="7" t="s">
        <v>403</v>
      </c>
      <c r="G1" s="7" t="s">
        <v>404</v>
      </c>
      <c r="H1" s="6" t="s">
        <v>396</v>
      </c>
      <c r="I1" s="6" t="s">
        <v>397</v>
      </c>
      <c r="J1" s="6" t="s">
        <v>401</v>
      </c>
      <c r="K1" s="6" t="s">
        <v>0</v>
      </c>
      <c r="L1" s="6" t="s">
        <v>407</v>
      </c>
      <c r="M1" s="6" t="s">
        <v>1</v>
      </c>
      <c r="N1" s="6" t="s">
        <v>405</v>
      </c>
      <c r="O1" s="6" t="s">
        <v>406</v>
      </c>
      <c r="P1" s="8" t="s">
        <v>2</v>
      </c>
      <c r="Q1" s="6" t="s">
        <v>402</v>
      </c>
      <c r="R1" s="6"/>
    </row>
    <row r="2" spans="1:20" ht="15.75" customHeight="1" x14ac:dyDescent="0.25">
      <c r="A2" s="9" t="s">
        <v>3</v>
      </c>
      <c r="B2" s="9" t="s">
        <v>4</v>
      </c>
      <c r="C2" s="9" t="s">
        <v>5</v>
      </c>
      <c r="D2" s="10">
        <v>40746</v>
      </c>
      <c r="E2" s="10" t="str">
        <f>TEXT(D2, "YYYY")</f>
        <v>2011</v>
      </c>
      <c r="F2" s="10" t="str">
        <f>TEXT(D2, "MMM")</f>
        <v>Jul</v>
      </c>
      <c r="G2" s="10" t="str">
        <f>"Q" &amp; ROUNDUP(MONTH(D2)/3,0)</f>
        <v>Q3</v>
      </c>
      <c r="H2" s="11">
        <f t="shared" ref="H2:H65" ca="1" si="0">TEXT(TODAY(), "YYYY")-TEXT(D2, "YYYY")</f>
        <v>14</v>
      </c>
      <c r="I2" t="str">
        <f ca="1">IF(AND(H2&gt;=0, H2&lt;2), "Fresher", IF(AND(H2&gt;=2, H2&lt;5), "Junior", IF(AND(H2&gt;=5, H2&lt;10), "Established", "Senior")))</f>
        <v>Senior</v>
      </c>
      <c r="J2">
        <v>3</v>
      </c>
      <c r="K2" s="11">
        <v>2</v>
      </c>
      <c r="L2" s="11" t="str">
        <f>IF(K2=1, "Poor Performer", IF(K2=2, "Fair Performer", IF(K2=3, "Average Performer", IF(K2=4, "Good Performer", "Excellent Performer"))))</f>
        <v>Fair Performer</v>
      </c>
      <c r="M2" s="11">
        <v>50</v>
      </c>
      <c r="N2" s="11" t="str">
        <f>IF(AND(M2&lt;25), "Young Talent", IF(AND(M2&gt;=25, M2&lt;35), "Emerging Professional", IF(AND(M2&gt;=35, M2&lt;45), "Established Professional", "Senior Professional")))</f>
        <v>Senior Professional</v>
      </c>
      <c r="O2" s="11">
        <f>60-M2</f>
        <v>10</v>
      </c>
      <c r="P2" s="12">
        <v>2620688</v>
      </c>
      <c r="Q2" t="str">
        <f>IF(P2&lt;= _xlfn.PERCENTILE.INC(P2:P373, 0.25), "Low", IF(P2&lt;= _xlfn.PERCENTILE.INC(P2:P373, 0.5),"Medium",IF(P2&lt;= _xlfn.PERCENTILE.INC(P2:P373, 0.75),"High","Very High")))</f>
        <v>Medium</v>
      </c>
      <c r="R2" s="3">
        <f ca="1">P2/H2</f>
        <v>187192</v>
      </c>
      <c r="S2" s="4">
        <f xml:space="preserve"> _xlfn.PERCENTILE.INC(P2:P373, 0.25)</f>
        <v>1859893.75</v>
      </c>
      <c r="T2" t="s">
        <v>398</v>
      </c>
    </row>
    <row r="3" spans="1:20" ht="15.75" customHeight="1" x14ac:dyDescent="0.25">
      <c r="A3" s="9" t="s">
        <v>6</v>
      </c>
      <c r="B3" s="9" t="s">
        <v>7</v>
      </c>
      <c r="C3" s="9" t="s">
        <v>8</v>
      </c>
      <c r="D3" s="10">
        <v>41514</v>
      </c>
      <c r="E3" s="10" t="str">
        <f t="shared" ref="E3:E66" si="1">TEXT(D3, "YYYY")</f>
        <v>2013</v>
      </c>
      <c r="F3" s="10" t="str">
        <f t="shared" ref="F3:F66" si="2">TEXT(D3, "MMM")</f>
        <v>Aug</v>
      </c>
      <c r="G3" s="10" t="str">
        <f t="shared" ref="G3:G66" si="3">"Q" &amp; ROUNDUP(MONTH(D3)/3,0)</f>
        <v>Q3</v>
      </c>
      <c r="H3" s="11">
        <f t="shared" ca="1" si="0"/>
        <v>12</v>
      </c>
      <c r="I3" t="str">
        <f t="shared" ref="I3:I66" ca="1" si="4">IF(AND(H3&gt;=0, H3&lt;2), "Fresher", IF(AND(H3&gt;=2, H3&lt;5), "Junior", IF(AND(H3&gt;=5, H3&lt;10), "Established", "Senior")))</f>
        <v>Senior</v>
      </c>
      <c r="J3">
        <v>2</v>
      </c>
      <c r="K3" s="11">
        <v>2</v>
      </c>
      <c r="L3" s="11" t="str">
        <f t="shared" ref="L3:L66" si="5">IF(K3=1, "Poor Performer", IF(K3=2, "Fair Performer", IF(K3=3, "Average Performer", IF(K3=4, "Good Performer", "Excellent Performer"))))</f>
        <v>Fair Performer</v>
      </c>
      <c r="M3" s="11">
        <v>26</v>
      </c>
      <c r="N3" s="11" t="str">
        <f t="shared" ref="N3:N66" si="6">IF(AND(M3&lt;25), "Young Talent", IF(AND(M3&gt;=25, M3&lt;35), "Emerging Professional", IF(AND(M3&gt;=35, M3&lt;45), "Established Professional", "Senior Professional")))</f>
        <v>Emerging Professional</v>
      </c>
      <c r="O3" s="11">
        <f t="shared" ref="O3:O66" si="7">60-M3</f>
        <v>34</v>
      </c>
      <c r="P3" s="12">
        <v>2664404</v>
      </c>
      <c r="Q3" t="str">
        <f t="shared" ref="Q3:Q10" si="8">IF(P3&lt;= _xlfn.PERCENTILE.INC(P3:P374, 0.25), "Low", IF(P3&lt;= _xlfn.PERCENTILE.INC(P3:P374, 0.5),"Medium",IF(P3&lt;= _xlfn.PERCENTILE.INC(P3:P374, 0.75),"High","Very High")))</f>
        <v>Medium</v>
      </c>
      <c r="S3" s="4">
        <f xml:space="preserve"> _xlfn.PERCENTILE.INC(P2:P373, 0.5)</f>
        <v>3099900</v>
      </c>
      <c r="T3" t="s">
        <v>399</v>
      </c>
    </row>
    <row r="4" spans="1:20" ht="15.75" customHeight="1" x14ac:dyDescent="0.25">
      <c r="A4" s="9" t="s">
        <v>9</v>
      </c>
      <c r="B4" s="9" t="s">
        <v>10</v>
      </c>
      <c r="C4" s="9" t="s">
        <v>11</v>
      </c>
      <c r="D4" s="10">
        <v>44872</v>
      </c>
      <c r="E4" s="10" t="str">
        <f t="shared" si="1"/>
        <v>2022</v>
      </c>
      <c r="F4" s="10" t="str">
        <f t="shared" si="2"/>
        <v>Nov</v>
      </c>
      <c r="G4" s="10" t="str">
        <f t="shared" si="3"/>
        <v>Q4</v>
      </c>
      <c r="H4" s="11">
        <f t="shared" ca="1" si="0"/>
        <v>3</v>
      </c>
      <c r="I4" t="str">
        <f t="shared" ca="1" si="4"/>
        <v>Junior</v>
      </c>
      <c r="J4">
        <v>1</v>
      </c>
      <c r="K4" s="11">
        <v>5</v>
      </c>
      <c r="L4" s="11" t="str">
        <f t="shared" si="5"/>
        <v>Excellent Performer</v>
      </c>
      <c r="M4" s="11">
        <v>29</v>
      </c>
      <c r="N4" s="11" t="str">
        <f t="shared" si="6"/>
        <v>Emerging Professional</v>
      </c>
      <c r="O4" s="11">
        <f t="shared" si="7"/>
        <v>31</v>
      </c>
      <c r="P4" s="12">
        <v>2369914</v>
      </c>
      <c r="Q4" t="str">
        <f t="shared" si="8"/>
        <v>Medium</v>
      </c>
      <c r="S4" s="4">
        <f xml:space="preserve"> _xlfn.PERCENTILE.INC(P2:P373, 0.75)</f>
        <v>4421704.5</v>
      </c>
      <c r="T4" t="s">
        <v>400</v>
      </c>
    </row>
    <row r="5" spans="1:20" ht="15.75" customHeight="1" x14ac:dyDescent="0.25">
      <c r="A5" s="9" t="s">
        <v>12</v>
      </c>
      <c r="B5" s="9" t="s">
        <v>13</v>
      </c>
      <c r="C5" s="9" t="s">
        <v>14</v>
      </c>
      <c r="D5" s="10">
        <v>41036</v>
      </c>
      <c r="E5" s="10" t="str">
        <f t="shared" si="1"/>
        <v>2012</v>
      </c>
      <c r="F5" s="10" t="str">
        <f t="shared" si="2"/>
        <v>May</v>
      </c>
      <c r="G5" s="10" t="str">
        <f t="shared" si="3"/>
        <v>Q2</v>
      </c>
      <c r="H5" s="11">
        <f t="shared" ca="1" si="0"/>
        <v>13</v>
      </c>
      <c r="I5" t="str">
        <f t="shared" ca="1" si="4"/>
        <v>Senior</v>
      </c>
      <c r="J5">
        <v>3</v>
      </c>
      <c r="K5" s="11">
        <v>1</v>
      </c>
      <c r="L5" s="11" t="str">
        <f t="shared" si="5"/>
        <v>Poor Performer</v>
      </c>
      <c r="M5" s="11">
        <v>49</v>
      </c>
      <c r="N5" s="11" t="str">
        <f t="shared" si="6"/>
        <v>Senior Professional</v>
      </c>
      <c r="O5" s="11">
        <f t="shared" si="7"/>
        <v>11</v>
      </c>
      <c r="P5" s="12">
        <v>510100</v>
      </c>
      <c r="Q5" t="str">
        <f t="shared" si="8"/>
        <v>Low</v>
      </c>
    </row>
    <row r="6" spans="1:20" ht="15.75" customHeight="1" x14ac:dyDescent="0.25">
      <c r="A6" s="9" t="s">
        <v>15</v>
      </c>
      <c r="B6" s="9" t="s">
        <v>16</v>
      </c>
      <c r="C6" s="9" t="s">
        <v>17</v>
      </c>
      <c r="D6" s="10">
        <v>41722</v>
      </c>
      <c r="E6" s="10" t="str">
        <f t="shared" si="1"/>
        <v>2014</v>
      </c>
      <c r="F6" s="10" t="str">
        <f t="shared" si="2"/>
        <v>Mar</v>
      </c>
      <c r="G6" s="10" t="str">
        <f t="shared" si="3"/>
        <v>Q1</v>
      </c>
      <c r="H6" s="11">
        <f t="shared" ca="1" si="0"/>
        <v>11</v>
      </c>
      <c r="I6" t="str">
        <f t="shared" ca="1" si="4"/>
        <v>Senior</v>
      </c>
      <c r="J6">
        <v>5</v>
      </c>
      <c r="K6" s="11">
        <v>1</v>
      </c>
      <c r="L6" s="11" t="str">
        <f t="shared" si="5"/>
        <v>Poor Performer</v>
      </c>
      <c r="M6" s="11">
        <v>23</v>
      </c>
      <c r="N6" s="11" t="str">
        <f t="shared" si="6"/>
        <v>Young Talent</v>
      </c>
      <c r="O6" s="11">
        <f t="shared" si="7"/>
        <v>37</v>
      </c>
      <c r="P6" s="12">
        <v>4249791</v>
      </c>
      <c r="Q6" t="str">
        <f t="shared" si="8"/>
        <v>High</v>
      </c>
    </row>
    <row r="7" spans="1:20" ht="15.75" customHeight="1" x14ac:dyDescent="0.25">
      <c r="A7" s="9" t="s">
        <v>18</v>
      </c>
      <c r="B7" s="9" t="s">
        <v>4</v>
      </c>
      <c r="C7" s="9" t="s">
        <v>5</v>
      </c>
      <c r="D7" s="10">
        <v>44641</v>
      </c>
      <c r="E7" s="10" t="str">
        <f t="shared" si="1"/>
        <v>2022</v>
      </c>
      <c r="F7" s="10" t="str">
        <f t="shared" si="2"/>
        <v>Mar</v>
      </c>
      <c r="G7" s="10" t="str">
        <f t="shared" si="3"/>
        <v>Q1</v>
      </c>
      <c r="H7" s="11">
        <f t="shared" ca="1" si="0"/>
        <v>3</v>
      </c>
      <c r="I7" t="str">
        <f t="shared" ca="1" si="4"/>
        <v>Junior</v>
      </c>
      <c r="J7">
        <v>4</v>
      </c>
      <c r="K7" s="11">
        <v>5</v>
      </c>
      <c r="L7" s="11" t="str">
        <f t="shared" si="5"/>
        <v>Excellent Performer</v>
      </c>
      <c r="M7" s="11">
        <v>40</v>
      </c>
      <c r="N7" s="11" t="str">
        <f t="shared" si="6"/>
        <v>Established Professional</v>
      </c>
      <c r="O7" s="11">
        <f t="shared" si="7"/>
        <v>20</v>
      </c>
      <c r="P7" s="12">
        <v>3871399</v>
      </c>
      <c r="Q7" t="str">
        <f t="shared" si="8"/>
        <v>High</v>
      </c>
    </row>
    <row r="8" spans="1:20" ht="15.75" customHeight="1" x14ac:dyDescent="0.25">
      <c r="A8" s="9" t="s">
        <v>19</v>
      </c>
      <c r="B8" s="9" t="s">
        <v>20</v>
      </c>
      <c r="C8" s="9" t="s">
        <v>21</v>
      </c>
      <c r="D8" s="10">
        <v>40130</v>
      </c>
      <c r="E8" s="10" t="str">
        <f t="shared" si="1"/>
        <v>2009</v>
      </c>
      <c r="F8" s="10" t="str">
        <f t="shared" si="2"/>
        <v>Nov</v>
      </c>
      <c r="G8" s="10" t="str">
        <f t="shared" si="3"/>
        <v>Q4</v>
      </c>
      <c r="H8" s="11">
        <f t="shared" ca="1" si="0"/>
        <v>16</v>
      </c>
      <c r="I8" t="str">
        <f t="shared" ca="1" si="4"/>
        <v>Senior</v>
      </c>
      <c r="J8">
        <v>3</v>
      </c>
      <c r="K8" s="11">
        <v>2</v>
      </c>
      <c r="L8" s="11" t="str">
        <f t="shared" si="5"/>
        <v>Fair Performer</v>
      </c>
      <c r="M8" s="11">
        <v>43</v>
      </c>
      <c r="N8" s="11" t="str">
        <f t="shared" si="6"/>
        <v>Established Professional</v>
      </c>
      <c r="O8" s="11">
        <f t="shared" si="7"/>
        <v>17</v>
      </c>
      <c r="P8" s="12">
        <v>3332081</v>
      </c>
      <c r="Q8" t="str">
        <f t="shared" si="8"/>
        <v>High</v>
      </c>
    </row>
    <row r="9" spans="1:20" ht="15.75" customHeight="1" x14ac:dyDescent="0.25">
      <c r="A9" s="9" t="s">
        <v>22</v>
      </c>
      <c r="B9" s="9" t="s">
        <v>16</v>
      </c>
      <c r="C9" s="9" t="s">
        <v>17</v>
      </c>
      <c r="D9" s="10">
        <v>40845</v>
      </c>
      <c r="E9" s="10" t="str">
        <f t="shared" si="1"/>
        <v>2011</v>
      </c>
      <c r="F9" s="10" t="str">
        <f t="shared" si="2"/>
        <v>Oct</v>
      </c>
      <c r="G9" s="10" t="str">
        <f t="shared" si="3"/>
        <v>Q4</v>
      </c>
      <c r="H9" s="11">
        <f t="shared" ca="1" si="0"/>
        <v>14</v>
      </c>
      <c r="I9" t="str">
        <f t="shared" ca="1" si="4"/>
        <v>Senior</v>
      </c>
      <c r="J9">
        <v>6</v>
      </c>
      <c r="K9" s="11">
        <v>3</v>
      </c>
      <c r="L9" s="11" t="str">
        <f t="shared" si="5"/>
        <v>Average Performer</v>
      </c>
      <c r="M9" s="11">
        <v>46</v>
      </c>
      <c r="N9" s="11" t="str">
        <f t="shared" si="6"/>
        <v>Senior Professional</v>
      </c>
      <c r="O9" s="11">
        <f t="shared" si="7"/>
        <v>14</v>
      </c>
      <c r="P9" s="12">
        <v>4231132</v>
      </c>
      <c r="Q9" t="str">
        <f t="shared" si="8"/>
        <v>High</v>
      </c>
    </row>
    <row r="10" spans="1:20" ht="15.75" customHeight="1" x14ac:dyDescent="0.25">
      <c r="A10" s="9" t="s">
        <v>23</v>
      </c>
      <c r="B10" s="9" t="s">
        <v>7</v>
      </c>
      <c r="C10" s="9" t="s">
        <v>8</v>
      </c>
      <c r="D10" s="10">
        <v>39042</v>
      </c>
      <c r="E10" s="10" t="str">
        <f t="shared" si="1"/>
        <v>2006</v>
      </c>
      <c r="F10" s="10" t="str">
        <f t="shared" si="2"/>
        <v>Nov</v>
      </c>
      <c r="G10" s="10" t="str">
        <f t="shared" si="3"/>
        <v>Q4</v>
      </c>
      <c r="H10" s="11">
        <f t="shared" ca="1" si="0"/>
        <v>19</v>
      </c>
      <c r="I10" t="str">
        <f t="shared" ca="1" si="4"/>
        <v>Senior</v>
      </c>
      <c r="J10">
        <v>3</v>
      </c>
      <c r="K10" s="11">
        <v>4</v>
      </c>
      <c r="L10" s="11" t="str">
        <f t="shared" si="5"/>
        <v>Good Performer</v>
      </c>
      <c r="M10" s="11">
        <v>35</v>
      </c>
      <c r="N10" s="11" t="str">
        <f t="shared" si="6"/>
        <v>Established Professional</v>
      </c>
      <c r="O10" s="11">
        <f t="shared" si="7"/>
        <v>25</v>
      </c>
      <c r="P10" s="12">
        <v>3011243</v>
      </c>
      <c r="Q10" t="str">
        <f t="shared" si="8"/>
        <v>Medium</v>
      </c>
    </row>
    <row r="11" spans="1:20" ht="15.75" customHeight="1" x14ac:dyDescent="0.25">
      <c r="A11" s="9" t="s">
        <v>24</v>
      </c>
      <c r="B11" s="9" t="s">
        <v>20</v>
      </c>
      <c r="C11" s="9" t="s">
        <v>21</v>
      </c>
      <c r="D11" s="10">
        <v>40262</v>
      </c>
      <c r="E11" s="10" t="str">
        <f t="shared" si="1"/>
        <v>2010</v>
      </c>
      <c r="F11" s="10" t="str">
        <f t="shared" si="2"/>
        <v>Mar</v>
      </c>
      <c r="G11" s="10" t="str">
        <f t="shared" si="3"/>
        <v>Q1</v>
      </c>
      <c r="H11" s="11">
        <f t="shared" ca="1" si="0"/>
        <v>15</v>
      </c>
      <c r="I11" t="str">
        <f t="shared" ca="1" si="4"/>
        <v>Senior</v>
      </c>
      <c r="J11">
        <v>4</v>
      </c>
      <c r="K11" s="11">
        <v>5</v>
      </c>
      <c r="L11" s="11" t="str">
        <f t="shared" si="5"/>
        <v>Excellent Performer</v>
      </c>
      <c r="M11" s="11">
        <v>22</v>
      </c>
      <c r="N11" s="11" t="str">
        <f t="shared" si="6"/>
        <v>Young Talent</v>
      </c>
      <c r="O11" s="11">
        <f t="shared" si="7"/>
        <v>38</v>
      </c>
      <c r="P11" s="12">
        <v>4740141</v>
      </c>
      <c r="Q11" t="str">
        <f t="shared" ref="Q11:Q74" si="9">IF(P11&lt;= _xlfn.PERCENTILE.INC(P11:P382, 0.25), "Low", IF(P11&lt;= _xlfn.PERCENTILE.INC(P11:P382, 0.5),"Medium",IF(P11&lt;= _xlfn.PERCENTILE.INC(P11:P382, 0.75),"High","Very High")))</f>
        <v>Very High</v>
      </c>
    </row>
    <row r="12" spans="1:20" ht="15.75" customHeight="1" x14ac:dyDescent="0.25">
      <c r="A12" s="9" t="s">
        <v>25</v>
      </c>
      <c r="B12" s="9" t="s">
        <v>20</v>
      </c>
      <c r="C12" s="9" t="s">
        <v>21</v>
      </c>
      <c r="D12" s="10">
        <v>41514</v>
      </c>
      <c r="E12" s="10" t="str">
        <f t="shared" si="1"/>
        <v>2013</v>
      </c>
      <c r="F12" s="10" t="str">
        <f t="shared" si="2"/>
        <v>Aug</v>
      </c>
      <c r="G12" s="10" t="str">
        <f t="shared" si="3"/>
        <v>Q3</v>
      </c>
      <c r="H12" s="11">
        <f t="shared" ca="1" si="0"/>
        <v>12</v>
      </c>
      <c r="I12" t="str">
        <f t="shared" ca="1" si="4"/>
        <v>Senior</v>
      </c>
      <c r="J12">
        <v>7</v>
      </c>
      <c r="K12" s="11">
        <v>1</v>
      </c>
      <c r="L12" s="11" t="str">
        <f t="shared" si="5"/>
        <v>Poor Performer</v>
      </c>
      <c r="M12" s="11">
        <v>49</v>
      </c>
      <c r="N12" s="11" t="str">
        <f t="shared" si="6"/>
        <v>Senior Professional</v>
      </c>
      <c r="O12" s="11">
        <f t="shared" si="7"/>
        <v>11</v>
      </c>
      <c r="P12" s="12">
        <v>1780137</v>
      </c>
      <c r="Q12" t="str">
        <f t="shared" si="9"/>
        <v>Low</v>
      </c>
    </row>
    <row r="13" spans="1:20" ht="15.75" customHeight="1" x14ac:dyDescent="0.25">
      <c r="A13" s="9" t="s">
        <v>26</v>
      </c>
      <c r="B13" s="9" t="s">
        <v>4</v>
      </c>
      <c r="C13" s="9" t="s">
        <v>5</v>
      </c>
      <c r="D13" s="10">
        <v>43594</v>
      </c>
      <c r="E13" s="10" t="str">
        <f t="shared" si="1"/>
        <v>2019</v>
      </c>
      <c r="F13" s="10" t="str">
        <f t="shared" si="2"/>
        <v>May</v>
      </c>
      <c r="G13" s="10" t="str">
        <f t="shared" si="3"/>
        <v>Q2</v>
      </c>
      <c r="H13" s="11">
        <f t="shared" ca="1" si="0"/>
        <v>6</v>
      </c>
      <c r="I13" t="str">
        <f t="shared" ca="1" si="4"/>
        <v>Established</v>
      </c>
      <c r="J13">
        <v>3</v>
      </c>
      <c r="K13" s="11">
        <v>4</v>
      </c>
      <c r="L13" s="11" t="str">
        <f t="shared" si="5"/>
        <v>Good Performer</v>
      </c>
      <c r="M13" s="11">
        <v>46</v>
      </c>
      <c r="N13" s="11" t="str">
        <f t="shared" si="6"/>
        <v>Senior Professional</v>
      </c>
      <c r="O13" s="11">
        <f t="shared" si="7"/>
        <v>14</v>
      </c>
      <c r="P13" s="12">
        <v>1903992</v>
      </c>
      <c r="Q13" t="str">
        <f t="shared" si="9"/>
        <v>Medium</v>
      </c>
    </row>
    <row r="14" spans="1:20" ht="15.75" customHeight="1" x14ac:dyDescent="0.25">
      <c r="A14" s="9" t="s">
        <v>27</v>
      </c>
      <c r="B14" s="9" t="s">
        <v>20</v>
      </c>
      <c r="C14" s="9" t="s">
        <v>21</v>
      </c>
      <c r="D14" s="10">
        <v>38034</v>
      </c>
      <c r="E14" s="10" t="str">
        <f t="shared" si="1"/>
        <v>2004</v>
      </c>
      <c r="F14" s="10" t="str">
        <f t="shared" si="2"/>
        <v>Feb</v>
      </c>
      <c r="G14" s="10" t="str">
        <f t="shared" si="3"/>
        <v>Q1</v>
      </c>
      <c r="H14" s="11">
        <f t="shared" ca="1" si="0"/>
        <v>21</v>
      </c>
      <c r="I14" t="str">
        <f t="shared" ca="1" si="4"/>
        <v>Senior</v>
      </c>
      <c r="J14">
        <v>2</v>
      </c>
      <c r="K14" s="11">
        <v>1</v>
      </c>
      <c r="L14" s="11" t="str">
        <f t="shared" si="5"/>
        <v>Poor Performer</v>
      </c>
      <c r="M14" s="11">
        <v>22</v>
      </c>
      <c r="N14" s="11" t="str">
        <f t="shared" si="6"/>
        <v>Young Talent</v>
      </c>
      <c r="O14" s="11">
        <f t="shared" si="7"/>
        <v>38</v>
      </c>
      <c r="P14" s="12">
        <v>4287325</v>
      </c>
      <c r="Q14" t="str">
        <f t="shared" si="9"/>
        <v>High</v>
      </c>
    </row>
    <row r="15" spans="1:20" ht="15.75" customHeight="1" x14ac:dyDescent="0.25">
      <c r="A15" s="9" t="s">
        <v>28</v>
      </c>
      <c r="B15" s="9" t="s">
        <v>16</v>
      </c>
      <c r="C15" s="9" t="s">
        <v>17</v>
      </c>
      <c r="D15" s="10">
        <v>42098</v>
      </c>
      <c r="E15" s="10" t="str">
        <f t="shared" si="1"/>
        <v>2015</v>
      </c>
      <c r="F15" s="10" t="str">
        <f t="shared" si="2"/>
        <v>Apr</v>
      </c>
      <c r="G15" s="10" t="str">
        <f t="shared" si="3"/>
        <v>Q2</v>
      </c>
      <c r="H15" s="11">
        <f t="shared" ca="1" si="0"/>
        <v>10</v>
      </c>
      <c r="I15" t="str">
        <f t="shared" ca="1" si="4"/>
        <v>Senior</v>
      </c>
      <c r="J15">
        <v>6</v>
      </c>
      <c r="K15" s="11">
        <v>5</v>
      </c>
      <c r="L15" s="11" t="str">
        <f t="shared" si="5"/>
        <v>Excellent Performer</v>
      </c>
      <c r="M15" s="11">
        <v>38</v>
      </c>
      <c r="N15" s="11" t="str">
        <f t="shared" si="6"/>
        <v>Established Professional</v>
      </c>
      <c r="O15" s="11">
        <f t="shared" si="7"/>
        <v>22</v>
      </c>
      <c r="P15" s="12">
        <v>5666868</v>
      </c>
      <c r="Q15" t="str">
        <f t="shared" si="9"/>
        <v>Very High</v>
      </c>
    </row>
    <row r="16" spans="1:20" ht="15.75" customHeight="1" x14ac:dyDescent="0.25">
      <c r="A16" s="9" t="s">
        <v>29</v>
      </c>
      <c r="B16" s="9" t="s">
        <v>10</v>
      </c>
      <c r="C16" s="9" t="s">
        <v>11</v>
      </c>
      <c r="D16" s="10">
        <v>39537</v>
      </c>
      <c r="E16" s="10" t="str">
        <f t="shared" si="1"/>
        <v>2008</v>
      </c>
      <c r="F16" s="10" t="str">
        <f t="shared" si="2"/>
        <v>Mar</v>
      </c>
      <c r="G16" s="10" t="str">
        <f t="shared" si="3"/>
        <v>Q1</v>
      </c>
      <c r="H16" s="11">
        <f t="shared" ca="1" si="0"/>
        <v>17</v>
      </c>
      <c r="I16" t="str">
        <f t="shared" ca="1" si="4"/>
        <v>Senior</v>
      </c>
      <c r="J16">
        <v>2</v>
      </c>
      <c r="K16" s="11">
        <v>2</v>
      </c>
      <c r="L16" s="11" t="str">
        <f t="shared" si="5"/>
        <v>Fair Performer</v>
      </c>
      <c r="M16" s="11">
        <v>30</v>
      </c>
      <c r="N16" s="11" t="str">
        <f t="shared" si="6"/>
        <v>Emerging Professional</v>
      </c>
      <c r="O16" s="11">
        <f t="shared" si="7"/>
        <v>30</v>
      </c>
      <c r="P16" s="12">
        <v>1851244</v>
      </c>
      <c r="Q16" t="str">
        <f t="shared" si="9"/>
        <v>Medium</v>
      </c>
    </row>
    <row r="17" spans="1:17" ht="15.75" customHeight="1" x14ac:dyDescent="0.25">
      <c r="A17" s="9" t="s">
        <v>30</v>
      </c>
      <c r="B17" s="9" t="s">
        <v>4</v>
      </c>
      <c r="C17" s="9" t="s">
        <v>5</v>
      </c>
      <c r="D17" s="10">
        <v>38833</v>
      </c>
      <c r="E17" s="10" t="str">
        <f t="shared" si="1"/>
        <v>2006</v>
      </c>
      <c r="F17" s="10" t="str">
        <f t="shared" si="2"/>
        <v>Apr</v>
      </c>
      <c r="G17" s="10" t="str">
        <f t="shared" si="3"/>
        <v>Q2</v>
      </c>
      <c r="H17" s="11">
        <f t="shared" ca="1" si="0"/>
        <v>19</v>
      </c>
      <c r="I17" t="str">
        <f t="shared" ca="1" si="4"/>
        <v>Senior</v>
      </c>
      <c r="J17">
        <v>2</v>
      </c>
      <c r="K17" s="11">
        <v>1</v>
      </c>
      <c r="L17" s="11" t="str">
        <f t="shared" si="5"/>
        <v>Poor Performer</v>
      </c>
      <c r="M17" s="11">
        <v>22</v>
      </c>
      <c r="N17" s="11" t="str">
        <f t="shared" si="6"/>
        <v>Young Talent</v>
      </c>
      <c r="O17" s="11">
        <f t="shared" si="7"/>
        <v>38</v>
      </c>
      <c r="P17" s="12">
        <v>1679816</v>
      </c>
      <c r="Q17" t="str">
        <f t="shared" si="9"/>
        <v>Low</v>
      </c>
    </row>
    <row r="18" spans="1:17" ht="15.75" customHeight="1" x14ac:dyDescent="0.25">
      <c r="A18" s="9" t="s">
        <v>31</v>
      </c>
      <c r="B18" s="9" t="s">
        <v>20</v>
      </c>
      <c r="C18" s="9" t="s">
        <v>21</v>
      </c>
      <c r="D18" s="10">
        <v>44748</v>
      </c>
      <c r="E18" s="10" t="str">
        <f t="shared" si="1"/>
        <v>2022</v>
      </c>
      <c r="F18" s="10" t="str">
        <f t="shared" si="2"/>
        <v>Jul</v>
      </c>
      <c r="G18" s="10" t="str">
        <f t="shared" si="3"/>
        <v>Q3</v>
      </c>
      <c r="H18" s="11">
        <f t="shared" ca="1" si="0"/>
        <v>3</v>
      </c>
      <c r="I18" t="str">
        <f t="shared" ca="1" si="4"/>
        <v>Junior</v>
      </c>
      <c r="J18">
        <v>6</v>
      </c>
      <c r="K18" s="11">
        <v>5</v>
      </c>
      <c r="L18" s="11" t="str">
        <f t="shared" si="5"/>
        <v>Excellent Performer</v>
      </c>
      <c r="M18" s="11">
        <v>51</v>
      </c>
      <c r="N18" s="11" t="str">
        <f t="shared" si="6"/>
        <v>Senior Professional</v>
      </c>
      <c r="O18" s="11">
        <f t="shared" si="7"/>
        <v>9</v>
      </c>
      <c r="P18" s="12">
        <v>1579857</v>
      </c>
      <c r="Q18" t="str">
        <f t="shared" si="9"/>
        <v>Low</v>
      </c>
    </row>
    <row r="19" spans="1:17" ht="15.75" customHeight="1" x14ac:dyDescent="0.25">
      <c r="A19" s="9" t="s">
        <v>32</v>
      </c>
      <c r="B19" s="9" t="s">
        <v>16</v>
      </c>
      <c r="C19" s="9" t="s">
        <v>17</v>
      </c>
      <c r="D19" s="10">
        <v>38648</v>
      </c>
      <c r="E19" s="10" t="str">
        <f t="shared" si="1"/>
        <v>2005</v>
      </c>
      <c r="F19" s="10" t="str">
        <f t="shared" si="2"/>
        <v>Oct</v>
      </c>
      <c r="G19" s="10" t="str">
        <f t="shared" si="3"/>
        <v>Q4</v>
      </c>
      <c r="H19" s="11">
        <f t="shared" ca="1" si="0"/>
        <v>20</v>
      </c>
      <c r="I19" t="str">
        <f t="shared" ca="1" si="4"/>
        <v>Senior</v>
      </c>
      <c r="J19">
        <v>1</v>
      </c>
      <c r="K19" s="11">
        <v>2</v>
      </c>
      <c r="L19" s="11" t="str">
        <f t="shared" si="5"/>
        <v>Fair Performer</v>
      </c>
      <c r="M19" s="11">
        <v>21</v>
      </c>
      <c r="N19" s="11" t="str">
        <f t="shared" si="6"/>
        <v>Young Talent</v>
      </c>
      <c r="O19" s="11">
        <f t="shared" si="7"/>
        <v>39</v>
      </c>
      <c r="P19" s="12">
        <v>1379352</v>
      </c>
      <c r="Q19" t="str">
        <f t="shared" si="9"/>
        <v>Low</v>
      </c>
    </row>
    <row r="20" spans="1:17" ht="15.75" customHeight="1" x14ac:dyDescent="0.25">
      <c r="A20" s="9" t="s">
        <v>33</v>
      </c>
      <c r="B20" s="9" t="s">
        <v>10</v>
      </c>
      <c r="C20" s="9" t="s">
        <v>11</v>
      </c>
      <c r="D20" s="10">
        <v>41327</v>
      </c>
      <c r="E20" s="10" t="str">
        <f t="shared" si="1"/>
        <v>2013</v>
      </c>
      <c r="F20" s="10" t="str">
        <f t="shared" si="2"/>
        <v>Feb</v>
      </c>
      <c r="G20" s="10" t="str">
        <f t="shared" si="3"/>
        <v>Q1</v>
      </c>
      <c r="H20" s="11">
        <f t="shared" ca="1" si="0"/>
        <v>12</v>
      </c>
      <c r="I20" t="str">
        <f t="shared" ca="1" si="4"/>
        <v>Senior</v>
      </c>
      <c r="J20">
        <v>7</v>
      </c>
      <c r="K20" s="11">
        <v>3</v>
      </c>
      <c r="L20" s="11" t="str">
        <f t="shared" si="5"/>
        <v>Average Performer</v>
      </c>
      <c r="M20" s="11">
        <v>48</v>
      </c>
      <c r="N20" s="11" t="str">
        <f t="shared" si="6"/>
        <v>Senior Professional</v>
      </c>
      <c r="O20" s="11">
        <f t="shared" si="7"/>
        <v>12</v>
      </c>
      <c r="P20" s="12">
        <v>3154022</v>
      </c>
      <c r="Q20" t="str">
        <f t="shared" si="9"/>
        <v>High</v>
      </c>
    </row>
    <row r="21" spans="1:17" ht="15.75" customHeight="1" x14ac:dyDescent="0.25">
      <c r="A21" s="9" t="s">
        <v>34</v>
      </c>
      <c r="B21" s="9" t="s">
        <v>16</v>
      </c>
      <c r="C21" s="9" t="s">
        <v>17</v>
      </c>
      <c r="D21" s="10">
        <v>39907</v>
      </c>
      <c r="E21" s="10" t="str">
        <f t="shared" si="1"/>
        <v>2009</v>
      </c>
      <c r="F21" s="10" t="str">
        <f t="shared" si="2"/>
        <v>Apr</v>
      </c>
      <c r="G21" s="10" t="str">
        <f t="shared" si="3"/>
        <v>Q2</v>
      </c>
      <c r="H21" s="11">
        <f t="shared" ca="1" si="0"/>
        <v>16</v>
      </c>
      <c r="I21" t="str">
        <f t="shared" ca="1" si="4"/>
        <v>Senior</v>
      </c>
      <c r="J21">
        <v>6</v>
      </c>
      <c r="K21" s="11">
        <v>5</v>
      </c>
      <c r="L21" s="11" t="str">
        <f t="shared" si="5"/>
        <v>Excellent Performer</v>
      </c>
      <c r="M21" s="11">
        <v>41</v>
      </c>
      <c r="N21" s="11" t="str">
        <f t="shared" si="6"/>
        <v>Established Professional</v>
      </c>
      <c r="O21" s="11">
        <f t="shared" si="7"/>
        <v>19</v>
      </c>
      <c r="P21" s="12">
        <v>5653315</v>
      </c>
      <c r="Q21" t="str">
        <f t="shared" si="9"/>
        <v>Very High</v>
      </c>
    </row>
    <row r="22" spans="1:17" ht="15.75" customHeight="1" x14ac:dyDescent="0.25">
      <c r="A22" s="9" t="s">
        <v>35</v>
      </c>
      <c r="B22" s="9" t="s">
        <v>36</v>
      </c>
      <c r="C22" s="9" t="s">
        <v>37</v>
      </c>
      <c r="D22" s="10">
        <v>44031</v>
      </c>
      <c r="E22" s="10" t="str">
        <f t="shared" si="1"/>
        <v>2020</v>
      </c>
      <c r="F22" s="10" t="str">
        <f t="shared" si="2"/>
        <v>Jul</v>
      </c>
      <c r="G22" s="10" t="str">
        <f t="shared" si="3"/>
        <v>Q3</v>
      </c>
      <c r="H22" s="11">
        <f t="shared" ca="1" si="0"/>
        <v>5</v>
      </c>
      <c r="I22" t="str">
        <f t="shared" ca="1" si="4"/>
        <v>Established</v>
      </c>
      <c r="J22">
        <v>4</v>
      </c>
      <c r="K22" s="11">
        <v>1</v>
      </c>
      <c r="L22" s="11" t="str">
        <f t="shared" si="5"/>
        <v>Poor Performer</v>
      </c>
      <c r="M22" s="11">
        <v>41</v>
      </c>
      <c r="N22" s="11" t="str">
        <f t="shared" si="6"/>
        <v>Established Professional</v>
      </c>
      <c r="O22" s="11">
        <f t="shared" si="7"/>
        <v>19</v>
      </c>
      <c r="P22" s="12">
        <v>5425639</v>
      </c>
      <c r="Q22" t="str">
        <f t="shared" si="9"/>
        <v>Very High</v>
      </c>
    </row>
    <row r="23" spans="1:17" ht="15.75" customHeight="1" x14ac:dyDescent="0.25">
      <c r="A23" s="9" t="s">
        <v>38</v>
      </c>
      <c r="B23" s="9" t="s">
        <v>36</v>
      </c>
      <c r="C23" s="9" t="s">
        <v>37</v>
      </c>
      <c r="D23" s="10">
        <v>43035</v>
      </c>
      <c r="E23" s="10" t="str">
        <f t="shared" si="1"/>
        <v>2017</v>
      </c>
      <c r="F23" s="10" t="str">
        <f t="shared" si="2"/>
        <v>Oct</v>
      </c>
      <c r="G23" s="10" t="str">
        <f t="shared" si="3"/>
        <v>Q4</v>
      </c>
      <c r="H23" s="11">
        <f t="shared" ca="1" si="0"/>
        <v>8</v>
      </c>
      <c r="I23" t="str">
        <f t="shared" ca="1" si="4"/>
        <v>Established</v>
      </c>
      <c r="J23">
        <v>4</v>
      </c>
      <c r="K23" s="11">
        <v>1</v>
      </c>
      <c r="L23" s="11" t="str">
        <f t="shared" si="5"/>
        <v>Poor Performer</v>
      </c>
      <c r="M23" s="11">
        <v>24</v>
      </c>
      <c r="N23" s="11" t="str">
        <f t="shared" si="6"/>
        <v>Young Talent</v>
      </c>
      <c r="O23" s="11">
        <f t="shared" si="7"/>
        <v>36</v>
      </c>
      <c r="P23" s="12">
        <v>5418009</v>
      </c>
      <c r="Q23" t="str">
        <f t="shared" si="9"/>
        <v>Very High</v>
      </c>
    </row>
    <row r="24" spans="1:17" ht="12.5" x14ac:dyDescent="0.25">
      <c r="A24" s="9" t="s">
        <v>39</v>
      </c>
      <c r="B24" s="9" t="s">
        <v>16</v>
      </c>
      <c r="C24" s="9" t="s">
        <v>17</v>
      </c>
      <c r="D24" s="10">
        <v>44059</v>
      </c>
      <c r="E24" s="10" t="str">
        <f t="shared" si="1"/>
        <v>2020</v>
      </c>
      <c r="F24" s="10" t="str">
        <f t="shared" si="2"/>
        <v>Aug</v>
      </c>
      <c r="G24" s="10" t="str">
        <f t="shared" si="3"/>
        <v>Q3</v>
      </c>
      <c r="H24" s="11">
        <f t="shared" ca="1" si="0"/>
        <v>5</v>
      </c>
      <c r="I24" t="str">
        <f t="shared" ca="1" si="4"/>
        <v>Established</v>
      </c>
      <c r="J24">
        <v>4</v>
      </c>
      <c r="K24" s="11">
        <v>4</v>
      </c>
      <c r="L24" s="11" t="str">
        <f t="shared" si="5"/>
        <v>Good Performer</v>
      </c>
      <c r="M24" s="11">
        <v>29</v>
      </c>
      <c r="N24" s="11" t="str">
        <f t="shared" si="6"/>
        <v>Emerging Professional</v>
      </c>
      <c r="O24" s="11">
        <f t="shared" si="7"/>
        <v>31</v>
      </c>
      <c r="P24" s="12">
        <v>4688104</v>
      </c>
      <c r="Q24" t="str">
        <f t="shared" si="9"/>
        <v>Very High</v>
      </c>
    </row>
    <row r="25" spans="1:17" ht="12.5" x14ac:dyDescent="0.25">
      <c r="A25" s="9" t="s">
        <v>40</v>
      </c>
      <c r="B25" s="9" t="s">
        <v>4</v>
      </c>
      <c r="C25" s="9" t="s">
        <v>5</v>
      </c>
      <c r="D25" s="10">
        <v>39394</v>
      </c>
      <c r="E25" s="10" t="str">
        <f t="shared" si="1"/>
        <v>2007</v>
      </c>
      <c r="F25" s="10" t="str">
        <f t="shared" si="2"/>
        <v>Nov</v>
      </c>
      <c r="G25" s="10" t="str">
        <f t="shared" si="3"/>
        <v>Q4</v>
      </c>
      <c r="H25" s="11">
        <f t="shared" ca="1" si="0"/>
        <v>18</v>
      </c>
      <c r="I25" t="str">
        <f t="shared" ca="1" si="4"/>
        <v>Senior</v>
      </c>
      <c r="J25">
        <v>3</v>
      </c>
      <c r="K25" s="11">
        <v>3</v>
      </c>
      <c r="L25" s="11" t="str">
        <f t="shared" si="5"/>
        <v>Average Performer</v>
      </c>
      <c r="M25" s="11">
        <v>44</v>
      </c>
      <c r="N25" s="11" t="str">
        <f t="shared" si="6"/>
        <v>Established Professional</v>
      </c>
      <c r="O25" s="11">
        <f t="shared" si="7"/>
        <v>16</v>
      </c>
      <c r="P25" s="12">
        <v>1129116</v>
      </c>
      <c r="Q25" t="str">
        <f t="shared" si="9"/>
        <v>Low</v>
      </c>
    </row>
    <row r="26" spans="1:17" ht="12.5" x14ac:dyDescent="0.25">
      <c r="A26" s="9" t="s">
        <v>41</v>
      </c>
      <c r="B26" s="9" t="s">
        <v>10</v>
      </c>
      <c r="C26" s="9" t="s">
        <v>11</v>
      </c>
      <c r="D26" s="10">
        <v>38777</v>
      </c>
      <c r="E26" s="10" t="str">
        <f t="shared" si="1"/>
        <v>2006</v>
      </c>
      <c r="F26" s="10" t="str">
        <f t="shared" si="2"/>
        <v>Mar</v>
      </c>
      <c r="G26" s="10" t="str">
        <f t="shared" si="3"/>
        <v>Q1</v>
      </c>
      <c r="H26" s="11">
        <f t="shared" ca="1" si="0"/>
        <v>19</v>
      </c>
      <c r="I26" t="str">
        <f t="shared" ca="1" si="4"/>
        <v>Senior</v>
      </c>
      <c r="J26">
        <v>7</v>
      </c>
      <c r="K26" s="11">
        <v>3</v>
      </c>
      <c r="L26" s="11" t="str">
        <f t="shared" si="5"/>
        <v>Average Performer</v>
      </c>
      <c r="M26" s="11">
        <v>56</v>
      </c>
      <c r="N26" s="11" t="str">
        <f t="shared" si="6"/>
        <v>Senior Professional</v>
      </c>
      <c r="O26" s="11">
        <f t="shared" si="7"/>
        <v>4</v>
      </c>
      <c r="P26" s="12">
        <v>3192739</v>
      </c>
      <c r="Q26" t="str">
        <f t="shared" si="9"/>
        <v>High</v>
      </c>
    </row>
    <row r="27" spans="1:17" ht="12.5" x14ac:dyDescent="0.25">
      <c r="A27" s="9" t="s">
        <v>42</v>
      </c>
      <c r="B27" s="9" t="s">
        <v>10</v>
      </c>
      <c r="C27" s="9" t="s">
        <v>11</v>
      </c>
      <c r="D27" s="10">
        <v>44213</v>
      </c>
      <c r="E27" s="10" t="str">
        <f t="shared" si="1"/>
        <v>2021</v>
      </c>
      <c r="F27" s="10" t="str">
        <f t="shared" si="2"/>
        <v>Jan</v>
      </c>
      <c r="G27" s="10" t="str">
        <f t="shared" si="3"/>
        <v>Q1</v>
      </c>
      <c r="H27" s="11">
        <f t="shared" ca="1" si="0"/>
        <v>4</v>
      </c>
      <c r="I27" t="str">
        <f t="shared" ca="1" si="4"/>
        <v>Junior</v>
      </c>
      <c r="J27">
        <v>2</v>
      </c>
      <c r="K27" s="11">
        <v>5</v>
      </c>
      <c r="L27" s="11" t="str">
        <f t="shared" si="5"/>
        <v>Excellent Performer</v>
      </c>
      <c r="M27" s="11">
        <v>44</v>
      </c>
      <c r="N27" s="11" t="str">
        <f t="shared" si="6"/>
        <v>Established Professional</v>
      </c>
      <c r="O27" s="11">
        <f t="shared" si="7"/>
        <v>16</v>
      </c>
      <c r="P27" s="12">
        <v>1435359</v>
      </c>
      <c r="Q27" t="str">
        <f t="shared" si="9"/>
        <v>Low</v>
      </c>
    </row>
    <row r="28" spans="1:17" ht="12.5" x14ac:dyDescent="0.25">
      <c r="A28" s="9" t="s">
        <v>43</v>
      </c>
      <c r="B28" s="9" t="s">
        <v>4</v>
      </c>
      <c r="C28" s="9" t="s">
        <v>5</v>
      </c>
      <c r="D28" s="10">
        <v>42795</v>
      </c>
      <c r="E28" s="10" t="str">
        <f t="shared" si="1"/>
        <v>2017</v>
      </c>
      <c r="F28" s="10" t="str">
        <f t="shared" si="2"/>
        <v>Mar</v>
      </c>
      <c r="G28" s="10" t="str">
        <f t="shared" si="3"/>
        <v>Q1</v>
      </c>
      <c r="H28" s="11">
        <f t="shared" ca="1" si="0"/>
        <v>8</v>
      </c>
      <c r="I28" t="str">
        <f t="shared" ca="1" si="4"/>
        <v>Established</v>
      </c>
      <c r="J28">
        <v>6</v>
      </c>
      <c r="K28" s="11">
        <v>2</v>
      </c>
      <c r="L28" s="11" t="str">
        <f t="shared" si="5"/>
        <v>Fair Performer</v>
      </c>
      <c r="M28" s="11">
        <v>45</v>
      </c>
      <c r="N28" s="11" t="str">
        <f t="shared" si="6"/>
        <v>Senior Professional</v>
      </c>
      <c r="O28" s="11">
        <f t="shared" si="7"/>
        <v>15</v>
      </c>
      <c r="P28" s="12">
        <v>2359693</v>
      </c>
      <c r="Q28" t="str">
        <f t="shared" si="9"/>
        <v>Medium</v>
      </c>
    </row>
    <row r="29" spans="1:17" ht="12.5" x14ac:dyDescent="0.25">
      <c r="A29" s="9" t="s">
        <v>44</v>
      </c>
      <c r="B29" s="9" t="s">
        <v>7</v>
      </c>
      <c r="C29" s="9" t="s">
        <v>8</v>
      </c>
      <c r="D29" s="10">
        <v>39172</v>
      </c>
      <c r="E29" s="10" t="str">
        <f t="shared" si="1"/>
        <v>2007</v>
      </c>
      <c r="F29" s="10" t="str">
        <f t="shared" si="2"/>
        <v>Mar</v>
      </c>
      <c r="G29" s="10" t="str">
        <f t="shared" si="3"/>
        <v>Q1</v>
      </c>
      <c r="H29" s="11">
        <f t="shared" ca="1" si="0"/>
        <v>18</v>
      </c>
      <c r="I29" t="str">
        <f t="shared" ca="1" si="4"/>
        <v>Senior</v>
      </c>
      <c r="J29">
        <v>5</v>
      </c>
      <c r="K29" s="11">
        <v>1</v>
      </c>
      <c r="L29" s="11" t="str">
        <f t="shared" si="5"/>
        <v>Poor Performer</v>
      </c>
      <c r="M29" s="11">
        <v>36</v>
      </c>
      <c r="N29" s="11" t="str">
        <f t="shared" si="6"/>
        <v>Established Professional</v>
      </c>
      <c r="O29" s="11">
        <f t="shared" si="7"/>
        <v>24</v>
      </c>
      <c r="P29" s="12">
        <v>5666875</v>
      </c>
      <c r="Q29" t="str">
        <f t="shared" si="9"/>
        <v>Very High</v>
      </c>
    </row>
    <row r="30" spans="1:17" ht="12.5" x14ac:dyDescent="0.25">
      <c r="A30" s="9" t="s">
        <v>45</v>
      </c>
      <c r="B30" s="9" t="s">
        <v>4</v>
      </c>
      <c r="C30" s="9" t="s">
        <v>5</v>
      </c>
      <c r="D30" s="10">
        <v>44199</v>
      </c>
      <c r="E30" s="10" t="str">
        <f t="shared" si="1"/>
        <v>2021</v>
      </c>
      <c r="F30" s="10" t="str">
        <f t="shared" si="2"/>
        <v>Jan</v>
      </c>
      <c r="G30" s="10" t="str">
        <f t="shared" si="3"/>
        <v>Q1</v>
      </c>
      <c r="H30" s="11">
        <f t="shared" ca="1" si="0"/>
        <v>4</v>
      </c>
      <c r="I30" t="str">
        <f t="shared" ca="1" si="4"/>
        <v>Junior</v>
      </c>
      <c r="J30">
        <v>1</v>
      </c>
      <c r="K30" s="11">
        <v>5</v>
      </c>
      <c r="L30" s="11" t="str">
        <f t="shared" si="5"/>
        <v>Excellent Performer</v>
      </c>
      <c r="M30" s="11">
        <v>38</v>
      </c>
      <c r="N30" s="11" t="str">
        <f t="shared" si="6"/>
        <v>Established Professional</v>
      </c>
      <c r="O30" s="11">
        <f t="shared" si="7"/>
        <v>22</v>
      </c>
      <c r="P30" s="12">
        <v>748883</v>
      </c>
      <c r="Q30" t="str">
        <f t="shared" si="9"/>
        <v>Low</v>
      </c>
    </row>
    <row r="31" spans="1:17" ht="12.5" x14ac:dyDescent="0.25">
      <c r="A31" s="9" t="s">
        <v>46</v>
      </c>
      <c r="B31" s="9" t="s">
        <v>20</v>
      </c>
      <c r="C31" s="9" t="s">
        <v>21</v>
      </c>
      <c r="D31" s="10">
        <v>39076</v>
      </c>
      <c r="E31" s="10" t="str">
        <f t="shared" si="1"/>
        <v>2006</v>
      </c>
      <c r="F31" s="10" t="str">
        <f t="shared" si="2"/>
        <v>Dec</v>
      </c>
      <c r="G31" s="10" t="str">
        <f t="shared" si="3"/>
        <v>Q4</v>
      </c>
      <c r="H31" s="11">
        <f t="shared" ca="1" si="0"/>
        <v>19</v>
      </c>
      <c r="I31" t="str">
        <f t="shared" ca="1" si="4"/>
        <v>Senior</v>
      </c>
      <c r="J31">
        <v>7</v>
      </c>
      <c r="K31" s="11">
        <v>1</v>
      </c>
      <c r="L31" s="11" t="str">
        <f t="shared" si="5"/>
        <v>Poor Performer</v>
      </c>
      <c r="M31" s="11">
        <v>42</v>
      </c>
      <c r="N31" s="11" t="str">
        <f t="shared" si="6"/>
        <v>Established Professional</v>
      </c>
      <c r="O31" s="11">
        <f t="shared" si="7"/>
        <v>18</v>
      </c>
      <c r="P31" s="12">
        <v>3203434</v>
      </c>
      <c r="Q31" t="str">
        <f t="shared" si="9"/>
        <v>High</v>
      </c>
    </row>
    <row r="32" spans="1:17" ht="12.5" x14ac:dyDescent="0.25">
      <c r="A32" s="9" t="s">
        <v>47</v>
      </c>
      <c r="B32" s="9" t="s">
        <v>10</v>
      </c>
      <c r="C32" s="9" t="s">
        <v>11</v>
      </c>
      <c r="D32" s="10">
        <v>38546</v>
      </c>
      <c r="E32" s="10" t="str">
        <f t="shared" si="1"/>
        <v>2005</v>
      </c>
      <c r="F32" s="10" t="str">
        <f t="shared" si="2"/>
        <v>Jul</v>
      </c>
      <c r="G32" s="10" t="str">
        <f t="shared" si="3"/>
        <v>Q3</v>
      </c>
      <c r="H32" s="11">
        <f t="shared" ca="1" si="0"/>
        <v>20</v>
      </c>
      <c r="I32" t="str">
        <f t="shared" ca="1" si="4"/>
        <v>Senior</v>
      </c>
      <c r="J32">
        <v>3</v>
      </c>
      <c r="K32" s="11">
        <v>2</v>
      </c>
      <c r="L32" s="11" t="str">
        <f t="shared" si="5"/>
        <v>Fair Performer</v>
      </c>
      <c r="M32" s="11">
        <v>24</v>
      </c>
      <c r="N32" s="11" t="str">
        <f t="shared" si="6"/>
        <v>Young Talent</v>
      </c>
      <c r="O32" s="11">
        <f t="shared" si="7"/>
        <v>36</v>
      </c>
      <c r="P32" s="12">
        <v>2137140</v>
      </c>
      <c r="Q32" t="str">
        <f t="shared" si="9"/>
        <v>Medium</v>
      </c>
    </row>
    <row r="33" spans="1:17" ht="12.5" x14ac:dyDescent="0.25">
      <c r="A33" s="9" t="s">
        <v>48</v>
      </c>
      <c r="B33" s="9" t="s">
        <v>49</v>
      </c>
      <c r="C33" s="9" t="s">
        <v>50</v>
      </c>
      <c r="D33" s="10">
        <v>38592</v>
      </c>
      <c r="E33" s="10" t="str">
        <f t="shared" si="1"/>
        <v>2005</v>
      </c>
      <c r="F33" s="10" t="str">
        <f t="shared" si="2"/>
        <v>Aug</v>
      </c>
      <c r="G33" s="10" t="str">
        <f t="shared" si="3"/>
        <v>Q3</v>
      </c>
      <c r="H33" s="11">
        <f t="shared" ca="1" si="0"/>
        <v>20</v>
      </c>
      <c r="I33" t="str">
        <f t="shared" ca="1" si="4"/>
        <v>Senior</v>
      </c>
      <c r="J33">
        <v>3</v>
      </c>
      <c r="K33" s="11">
        <v>3</v>
      </c>
      <c r="L33" s="11" t="str">
        <f t="shared" si="5"/>
        <v>Average Performer</v>
      </c>
      <c r="M33" s="11">
        <v>54</v>
      </c>
      <c r="N33" s="11" t="str">
        <f t="shared" si="6"/>
        <v>Senior Professional</v>
      </c>
      <c r="O33" s="11">
        <f t="shared" si="7"/>
        <v>6</v>
      </c>
      <c r="P33" s="12">
        <v>4785401</v>
      </c>
      <c r="Q33" t="str">
        <f t="shared" si="9"/>
        <v>Very High</v>
      </c>
    </row>
    <row r="34" spans="1:17" ht="12.5" x14ac:dyDescent="0.25">
      <c r="A34" s="9" t="s">
        <v>51</v>
      </c>
      <c r="B34" s="9" t="s">
        <v>36</v>
      </c>
      <c r="C34" s="9" t="s">
        <v>37</v>
      </c>
      <c r="D34" s="10">
        <v>43616</v>
      </c>
      <c r="E34" s="10" t="str">
        <f t="shared" si="1"/>
        <v>2019</v>
      </c>
      <c r="F34" s="10" t="str">
        <f t="shared" si="2"/>
        <v>May</v>
      </c>
      <c r="G34" s="10" t="str">
        <f t="shared" si="3"/>
        <v>Q2</v>
      </c>
      <c r="H34" s="11">
        <f t="shared" ca="1" si="0"/>
        <v>6</v>
      </c>
      <c r="I34" t="str">
        <f t="shared" ca="1" si="4"/>
        <v>Established</v>
      </c>
      <c r="J34">
        <v>7</v>
      </c>
      <c r="K34" s="11">
        <v>3</v>
      </c>
      <c r="L34" s="11" t="str">
        <f t="shared" si="5"/>
        <v>Average Performer</v>
      </c>
      <c r="M34" s="11">
        <v>20</v>
      </c>
      <c r="N34" s="11" t="str">
        <f t="shared" si="6"/>
        <v>Young Talent</v>
      </c>
      <c r="O34" s="11">
        <f t="shared" si="7"/>
        <v>40</v>
      </c>
      <c r="P34" s="12">
        <v>2330492</v>
      </c>
      <c r="Q34" t="str">
        <f t="shared" si="9"/>
        <v>Medium</v>
      </c>
    </row>
    <row r="35" spans="1:17" ht="12.5" x14ac:dyDescent="0.25">
      <c r="A35" s="9" t="s">
        <v>52</v>
      </c>
      <c r="B35" s="9" t="s">
        <v>49</v>
      </c>
      <c r="C35" s="9" t="s">
        <v>50</v>
      </c>
      <c r="D35" s="10">
        <v>42186</v>
      </c>
      <c r="E35" s="10" t="str">
        <f t="shared" si="1"/>
        <v>2015</v>
      </c>
      <c r="F35" s="10" t="str">
        <f t="shared" si="2"/>
        <v>Jul</v>
      </c>
      <c r="G35" s="10" t="str">
        <f t="shared" si="3"/>
        <v>Q3</v>
      </c>
      <c r="H35" s="11">
        <f t="shared" ca="1" si="0"/>
        <v>10</v>
      </c>
      <c r="I35" t="str">
        <f t="shared" ca="1" si="4"/>
        <v>Senior</v>
      </c>
      <c r="J35">
        <v>4</v>
      </c>
      <c r="K35" s="11">
        <v>1</v>
      </c>
      <c r="L35" s="11" t="str">
        <f t="shared" si="5"/>
        <v>Poor Performer</v>
      </c>
      <c r="M35" s="11">
        <v>26</v>
      </c>
      <c r="N35" s="11" t="str">
        <f t="shared" si="6"/>
        <v>Emerging Professional</v>
      </c>
      <c r="O35" s="11">
        <f t="shared" si="7"/>
        <v>34</v>
      </c>
      <c r="P35" s="12">
        <v>5165458</v>
      </c>
      <c r="Q35" t="str">
        <f t="shared" si="9"/>
        <v>Very High</v>
      </c>
    </row>
    <row r="36" spans="1:17" ht="12.5" x14ac:dyDescent="0.25">
      <c r="A36" s="9" t="s">
        <v>53</v>
      </c>
      <c r="B36" s="9" t="s">
        <v>49</v>
      </c>
      <c r="C36" s="9" t="s">
        <v>50</v>
      </c>
      <c r="D36" s="10">
        <v>45290</v>
      </c>
      <c r="E36" s="10" t="str">
        <f t="shared" si="1"/>
        <v>2023</v>
      </c>
      <c r="F36" s="10" t="str">
        <f t="shared" si="2"/>
        <v>Dec</v>
      </c>
      <c r="G36" s="10" t="str">
        <f t="shared" si="3"/>
        <v>Q4</v>
      </c>
      <c r="H36" s="11">
        <f t="shared" ca="1" si="0"/>
        <v>2</v>
      </c>
      <c r="I36" t="str">
        <f t="shared" ca="1" si="4"/>
        <v>Junior</v>
      </c>
      <c r="J36">
        <v>3</v>
      </c>
      <c r="K36" s="11">
        <v>5</v>
      </c>
      <c r="L36" s="11" t="str">
        <f t="shared" si="5"/>
        <v>Excellent Performer</v>
      </c>
      <c r="M36" s="11">
        <v>52</v>
      </c>
      <c r="N36" s="11" t="str">
        <f t="shared" si="6"/>
        <v>Senior Professional</v>
      </c>
      <c r="O36" s="11">
        <f t="shared" si="7"/>
        <v>8</v>
      </c>
      <c r="P36" s="12">
        <v>3162465</v>
      </c>
      <c r="Q36" t="str">
        <f t="shared" si="9"/>
        <v>High</v>
      </c>
    </row>
    <row r="37" spans="1:17" ht="12.5" x14ac:dyDescent="0.25">
      <c r="A37" s="9" t="s">
        <v>54</v>
      </c>
      <c r="B37" s="9" t="s">
        <v>13</v>
      </c>
      <c r="C37" s="9" t="s">
        <v>14</v>
      </c>
      <c r="D37" s="10">
        <v>44830</v>
      </c>
      <c r="E37" s="10" t="str">
        <f t="shared" si="1"/>
        <v>2022</v>
      </c>
      <c r="F37" s="10" t="str">
        <f t="shared" si="2"/>
        <v>Sep</v>
      </c>
      <c r="G37" s="10" t="str">
        <f t="shared" si="3"/>
        <v>Q3</v>
      </c>
      <c r="H37" s="11">
        <f t="shared" ca="1" si="0"/>
        <v>3</v>
      </c>
      <c r="I37" t="str">
        <f t="shared" ca="1" si="4"/>
        <v>Junior</v>
      </c>
      <c r="J37">
        <v>6</v>
      </c>
      <c r="K37" s="11">
        <v>4</v>
      </c>
      <c r="L37" s="11" t="str">
        <f t="shared" si="5"/>
        <v>Good Performer</v>
      </c>
      <c r="M37" s="11">
        <v>41</v>
      </c>
      <c r="N37" s="11" t="str">
        <f t="shared" si="6"/>
        <v>Established Professional</v>
      </c>
      <c r="O37" s="11">
        <f t="shared" si="7"/>
        <v>19</v>
      </c>
      <c r="P37" s="12">
        <v>2876764</v>
      </c>
      <c r="Q37" t="str">
        <f t="shared" si="9"/>
        <v>Medium</v>
      </c>
    </row>
    <row r="38" spans="1:17" ht="12.5" x14ac:dyDescent="0.25">
      <c r="A38" s="9" t="s">
        <v>55</v>
      </c>
      <c r="B38" s="9" t="s">
        <v>7</v>
      </c>
      <c r="C38" s="9" t="s">
        <v>8</v>
      </c>
      <c r="D38" s="10">
        <v>40429</v>
      </c>
      <c r="E38" s="10" t="str">
        <f t="shared" si="1"/>
        <v>2010</v>
      </c>
      <c r="F38" s="10" t="str">
        <f t="shared" si="2"/>
        <v>Sep</v>
      </c>
      <c r="G38" s="10" t="str">
        <f t="shared" si="3"/>
        <v>Q3</v>
      </c>
      <c r="H38" s="11">
        <f t="shared" ca="1" si="0"/>
        <v>15</v>
      </c>
      <c r="I38" t="str">
        <f t="shared" ca="1" si="4"/>
        <v>Senior</v>
      </c>
      <c r="J38">
        <v>7</v>
      </c>
      <c r="K38" s="11">
        <v>4</v>
      </c>
      <c r="L38" s="11" t="str">
        <f t="shared" si="5"/>
        <v>Good Performer</v>
      </c>
      <c r="M38" s="11">
        <v>36</v>
      </c>
      <c r="N38" s="11" t="str">
        <f t="shared" si="6"/>
        <v>Established Professional</v>
      </c>
      <c r="O38" s="11">
        <f t="shared" si="7"/>
        <v>24</v>
      </c>
      <c r="P38" s="12">
        <v>1264335</v>
      </c>
      <c r="Q38" t="str">
        <f t="shared" si="9"/>
        <v>Low</v>
      </c>
    </row>
    <row r="39" spans="1:17" ht="12.5" x14ac:dyDescent="0.25">
      <c r="A39" s="9" t="s">
        <v>56</v>
      </c>
      <c r="B39" s="9" t="s">
        <v>10</v>
      </c>
      <c r="C39" s="9" t="s">
        <v>11</v>
      </c>
      <c r="D39" s="10">
        <v>42617</v>
      </c>
      <c r="E39" s="10" t="str">
        <f t="shared" si="1"/>
        <v>2016</v>
      </c>
      <c r="F39" s="10" t="str">
        <f t="shared" si="2"/>
        <v>Sep</v>
      </c>
      <c r="G39" s="10" t="str">
        <f t="shared" si="3"/>
        <v>Q3</v>
      </c>
      <c r="H39" s="11">
        <f t="shared" ca="1" si="0"/>
        <v>9</v>
      </c>
      <c r="I39" t="str">
        <f t="shared" ca="1" si="4"/>
        <v>Established</v>
      </c>
      <c r="J39">
        <v>6</v>
      </c>
      <c r="K39" s="11">
        <v>3</v>
      </c>
      <c r="L39" s="11" t="str">
        <f t="shared" si="5"/>
        <v>Average Performer</v>
      </c>
      <c r="M39" s="11">
        <v>53</v>
      </c>
      <c r="N39" s="11" t="str">
        <f t="shared" si="6"/>
        <v>Senior Professional</v>
      </c>
      <c r="O39" s="11">
        <f t="shared" si="7"/>
        <v>7</v>
      </c>
      <c r="P39" s="12">
        <v>3908420</v>
      </c>
      <c r="Q39" t="str">
        <f t="shared" si="9"/>
        <v>High</v>
      </c>
    </row>
    <row r="40" spans="1:17" ht="12.5" x14ac:dyDescent="0.25">
      <c r="A40" s="9" t="s">
        <v>57</v>
      </c>
      <c r="B40" s="9" t="s">
        <v>4</v>
      </c>
      <c r="C40" s="9" t="s">
        <v>5</v>
      </c>
      <c r="D40" s="10">
        <v>40690</v>
      </c>
      <c r="E40" s="10" t="str">
        <f t="shared" si="1"/>
        <v>2011</v>
      </c>
      <c r="F40" s="10" t="str">
        <f t="shared" si="2"/>
        <v>May</v>
      </c>
      <c r="G40" s="10" t="str">
        <f t="shared" si="3"/>
        <v>Q2</v>
      </c>
      <c r="H40" s="11">
        <f t="shared" ca="1" si="0"/>
        <v>14</v>
      </c>
      <c r="I40" t="str">
        <f t="shared" ca="1" si="4"/>
        <v>Senior</v>
      </c>
      <c r="J40">
        <v>5</v>
      </c>
      <c r="K40" s="11">
        <v>1</v>
      </c>
      <c r="L40" s="11" t="str">
        <f t="shared" si="5"/>
        <v>Poor Performer</v>
      </c>
      <c r="M40" s="11">
        <v>39</v>
      </c>
      <c r="N40" s="11" t="str">
        <f t="shared" si="6"/>
        <v>Established Professional</v>
      </c>
      <c r="O40" s="11">
        <f t="shared" si="7"/>
        <v>21</v>
      </c>
      <c r="P40" s="12">
        <v>2488087</v>
      </c>
      <c r="Q40" t="str">
        <f t="shared" si="9"/>
        <v>Medium</v>
      </c>
    </row>
    <row r="41" spans="1:17" ht="12.5" x14ac:dyDescent="0.25">
      <c r="A41" s="9" t="s">
        <v>58</v>
      </c>
      <c r="B41" s="9" t="s">
        <v>16</v>
      </c>
      <c r="C41" s="9" t="s">
        <v>17</v>
      </c>
      <c r="D41" s="10">
        <v>43339</v>
      </c>
      <c r="E41" s="10" t="str">
        <f t="shared" si="1"/>
        <v>2018</v>
      </c>
      <c r="F41" s="10" t="str">
        <f t="shared" si="2"/>
        <v>Aug</v>
      </c>
      <c r="G41" s="10" t="str">
        <f t="shared" si="3"/>
        <v>Q3</v>
      </c>
      <c r="H41" s="11">
        <f t="shared" ca="1" si="0"/>
        <v>7</v>
      </c>
      <c r="I41" t="str">
        <f t="shared" ca="1" si="4"/>
        <v>Established</v>
      </c>
      <c r="J41">
        <v>5</v>
      </c>
      <c r="K41" s="11">
        <v>4</v>
      </c>
      <c r="L41" s="11" t="str">
        <f t="shared" si="5"/>
        <v>Good Performer</v>
      </c>
      <c r="M41" s="11">
        <v>50</v>
      </c>
      <c r="N41" s="11" t="str">
        <f t="shared" si="6"/>
        <v>Senior Professional</v>
      </c>
      <c r="O41" s="11">
        <f t="shared" si="7"/>
        <v>10</v>
      </c>
      <c r="P41" s="12">
        <v>4701174</v>
      </c>
      <c r="Q41" t="str">
        <f t="shared" si="9"/>
        <v>Very High</v>
      </c>
    </row>
    <row r="42" spans="1:17" ht="12.5" x14ac:dyDescent="0.25">
      <c r="A42" s="9" t="s">
        <v>59</v>
      </c>
      <c r="B42" s="9" t="s">
        <v>20</v>
      </c>
      <c r="C42" s="9" t="s">
        <v>21</v>
      </c>
      <c r="D42" s="10">
        <v>40246</v>
      </c>
      <c r="E42" s="10" t="str">
        <f t="shared" si="1"/>
        <v>2010</v>
      </c>
      <c r="F42" s="10" t="str">
        <f t="shared" si="2"/>
        <v>Mar</v>
      </c>
      <c r="G42" s="10" t="str">
        <f t="shared" si="3"/>
        <v>Q1</v>
      </c>
      <c r="H42" s="11">
        <f t="shared" ca="1" si="0"/>
        <v>15</v>
      </c>
      <c r="I42" t="str">
        <f t="shared" ca="1" si="4"/>
        <v>Senior</v>
      </c>
      <c r="J42">
        <v>4</v>
      </c>
      <c r="K42" s="11">
        <v>3</v>
      </c>
      <c r="L42" s="11" t="str">
        <f t="shared" si="5"/>
        <v>Average Performer</v>
      </c>
      <c r="M42" s="11">
        <v>30</v>
      </c>
      <c r="N42" s="11" t="str">
        <f t="shared" si="6"/>
        <v>Emerging Professional</v>
      </c>
      <c r="O42" s="11">
        <f t="shared" si="7"/>
        <v>30</v>
      </c>
      <c r="P42" s="12">
        <v>708904</v>
      </c>
      <c r="Q42" t="str">
        <f t="shared" si="9"/>
        <v>Low</v>
      </c>
    </row>
    <row r="43" spans="1:17" ht="12.5" x14ac:dyDescent="0.25">
      <c r="A43" s="9" t="s">
        <v>60</v>
      </c>
      <c r="B43" s="9" t="s">
        <v>10</v>
      </c>
      <c r="C43" s="9" t="s">
        <v>11</v>
      </c>
      <c r="D43" s="10">
        <v>38374</v>
      </c>
      <c r="E43" s="10" t="str">
        <f t="shared" si="1"/>
        <v>2005</v>
      </c>
      <c r="F43" s="10" t="str">
        <f t="shared" si="2"/>
        <v>Jan</v>
      </c>
      <c r="G43" s="10" t="str">
        <f t="shared" si="3"/>
        <v>Q1</v>
      </c>
      <c r="H43" s="11">
        <f t="shared" ca="1" si="0"/>
        <v>20</v>
      </c>
      <c r="I43" t="str">
        <f t="shared" ca="1" si="4"/>
        <v>Senior</v>
      </c>
      <c r="J43">
        <v>3</v>
      </c>
      <c r="K43" s="11">
        <v>5</v>
      </c>
      <c r="L43" s="11" t="str">
        <f t="shared" si="5"/>
        <v>Excellent Performer</v>
      </c>
      <c r="M43" s="11">
        <v>54</v>
      </c>
      <c r="N43" s="11" t="str">
        <f t="shared" si="6"/>
        <v>Senior Professional</v>
      </c>
      <c r="O43" s="11">
        <f t="shared" si="7"/>
        <v>6</v>
      </c>
      <c r="P43" s="12">
        <v>5286379</v>
      </c>
      <c r="Q43" t="str">
        <f t="shared" si="9"/>
        <v>Very High</v>
      </c>
    </row>
    <row r="44" spans="1:17" ht="12.5" x14ac:dyDescent="0.25">
      <c r="A44" s="9" t="s">
        <v>61</v>
      </c>
      <c r="B44" s="9" t="s">
        <v>20</v>
      </c>
      <c r="C44" s="9" t="s">
        <v>21</v>
      </c>
      <c r="D44" s="10">
        <v>42186</v>
      </c>
      <c r="E44" s="10" t="str">
        <f t="shared" si="1"/>
        <v>2015</v>
      </c>
      <c r="F44" s="10" t="str">
        <f t="shared" si="2"/>
        <v>Jul</v>
      </c>
      <c r="G44" s="10" t="str">
        <f t="shared" si="3"/>
        <v>Q3</v>
      </c>
      <c r="H44" s="11">
        <f t="shared" ca="1" si="0"/>
        <v>10</v>
      </c>
      <c r="I44" t="str">
        <f t="shared" ca="1" si="4"/>
        <v>Senior</v>
      </c>
      <c r="J44">
        <v>5</v>
      </c>
      <c r="K44" s="11">
        <v>3</v>
      </c>
      <c r="L44" s="11" t="str">
        <f t="shared" si="5"/>
        <v>Average Performer</v>
      </c>
      <c r="M44" s="11">
        <v>22</v>
      </c>
      <c r="N44" s="11" t="str">
        <f t="shared" si="6"/>
        <v>Young Talent</v>
      </c>
      <c r="O44" s="11">
        <f t="shared" si="7"/>
        <v>38</v>
      </c>
      <c r="P44" s="12">
        <v>3227473</v>
      </c>
      <c r="Q44" t="str">
        <f t="shared" si="9"/>
        <v>High</v>
      </c>
    </row>
    <row r="45" spans="1:17" ht="12.5" x14ac:dyDescent="0.25">
      <c r="A45" s="9" t="s">
        <v>62</v>
      </c>
      <c r="B45" s="9" t="s">
        <v>49</v>
      </c>
      <c r="C45" s="9" t="s">
        <v>50</v>
      </c>
      <c r="D45" s="10">
        <v>42963</v>
      </c>
      <c r="E45" s="10" t="str">
        <f t="shared" si="1"/>
        <v>2017</v>
      </c>
      <c r="F45" s="10" t="str">
        <f t="shared" si="2"/>
        <v>Aug</v>
      </c>
      <c r="G45" s="10" t="str">
        <f t="shared" si="3"/>
        <v>Q3</v>
      </c>
      <c r="H45" s="11">
        <f t="shared" ca="1" si="0"/>
        <v>8</v>
      </c>
      <c r="I45" t="str">
        <f t="shared" ca="1" si="4"/>
        <v>Established</v>
      </c>
      <c r="J45">
        <v>3</v>
      </c>
      <c r="K45" s="11">
        <v>2</v>
      </c>
      <c r="L45" s="11" t="str">
        <f t="shared" si="5"/>
        <v>Fair Performer</v>
      </c>
      <c r="M45" s="11">
        <v>55</v>
      </c>
      <c r="N45" s="11" t="str">
        <f t="shared" si="6"/>
        <v>Senior Professional</v>
      </c>
      <c r="O45" s="11">
        <f t="shared" si="7"/>
        <v>5</v>
      </c>
      <c r="P45" s="12">
        <v>3315519</v>
      </c>
      <c r="Q45" t="str">
        <f t="shared" si="9"/>
        <v>High</v>
      </c>
    </row>
    <row r="46" spans="1:17" ht="12.5" x14ac:dyDescent="0.25">
      <c r="A46" s="9" t="s">
        <v>63</v>
      </c>
      <c r="B46" s="9" t="s">
        <v>16</v>
      </c>
      <c r="C46" s="9" t="s">
        <v>17</v>
      </c>
      <c r="D46" s="10">
        <v>44975</v>
      </c>
      <c r="E46" s="10" t="str">
        <f t="shared" si="1"/>
        <v>2023</v>
      </c>
      <c r="F46" s="10" t="str">
        <f t="shared" si="2"/>
        <v>Feb</v>
      </c>
      <c r="G46" s="10" t="str">
        <f t="shared" si="3"/>
        <v>Q1</v>
      </c>
      <c r="H46" s="11">
        <f t="shared" ca="1" si="0"/>
        <v>2</v>
      </c>
      <c r="I46" t="str">
        <f t="shared" ca="1" si="4"/>
        <v>Junior</v>
      </c>
      <c r="J46">
        <v>7</v>
      </c>
      <c r="K46" s="11">
        <v>3</v>
      </c>
      <c r="L46" s="11" t="str">
        <f t="shared" si="5"/>
        <v>Average Performer</v>
      </c>
      <c r="M46" s="11">
        <v>39</v>
      </c>
      <c r="N46" s="11" t="str">
        <f t="shared" si="6"/>
        <v>Established Professional</v>
      </c>
      <c r="O46" s="11">
        <f t="shared" si="7"/>
        <v>21</v>
      </c>
      <c r="P46" s="12">
        <v>3765154</v>
      </c>
      <c r="Q46" t="str">
        <f t="shared" si="9"/>
        <v>High</v>
      </c>
    </row>
    <row r="47" spans="1:17" ht="12.5" x14ac:dyDescent="0.25">
      <c r="A47" s="9" t="s">
        <v>64</v>
      </c>
      <c r="B47" s="9" t="s">
        <v>7</v>
      </c>
      <c r="C47" s="9" t="s">
        <v>8</v>
      </c>
      <c r="D47" s="10">
        <v>43106</v>
      </c>
      <c r="E47" s="10" t="str">
        <f t="shared" si="1"/>
        <v>2018</v>
      </c>
      <c r="F47" s="10" t="str">
        <f t="shared" si="2"/>
        <v>Jan</v>
      </c>
      <c r="G47" s="10" t="str">
        <f t="shared" si="3"/>
        <v>Q1</v>
      </c>
      <c r="H47" s="11">
        <f t="shared" ca="1" si="0"/>
        <v>7</v>
      </c>
      <c r="I47" t="str">
        <f t="shared" ca="1" si="4"/>
        <v>Established</v>
      </c>
      <c r="J47">
        <v>5</v>
      </c>
      <c r="K47" s="11">
        <v>3</v>
      </c>
      <c r="L47" s="11" t="str">
        <f t="shared" si="5"/>
        <v>Average Performer</v>
      </c>
      <c r="M47" s="11">
        <v>49</v>
      </c>
      <c r="N47" s="11" t="str">
        <f t="shared" si="6"/>
        <v>Senior Professional</v>
      </c>
      <c r="O47" s="11">
        <f t="shared" si="7"/>
        <v>11</v>
      </c>
      <c r="P47" s="12">
        <v>4103547</v>
      </c>
      <c r="Q47" t="str">
        <f t="shared" si="9"/>
        <v>High</v>
      </c>
    </row>
    <row r="48" spans="1:17" ht="12.5" x14ac:dyDescent="0.25">
      <c r="A48" s="9" t="s">
        <v>65</v>
      </c>
      <c r="B48" s="9" t="s">
        <v>20</v>
      </c>
      <c r="C48" s="9" t="s">
        <v>21</v>
      </c>
      <c r="D48" s="10">
        <v>44794</v>
      </c>
      <c r="E48" s="10" t="str">
        <f t="shared" si="1"/>
        <v>2022</v>
      </c>
      <c r="F48" s="10" t="str">
        <f t="shared" si="2"/>
        <v>Aug</v>
      </c>
      <c r="G48" s="10" t="str">
        <f t="shared" si="3"/>
        <v>Q3</v>
      </c>
      <c r="H48" s="11">
        <f t="shared" ca="1" si="0"/>
        <v>3</v>
      </c>
      <c r="I48" t="str">
        <f t="shared" ca="1" si="4"/>
        <v>Junior</v>
      </c>
      <c r="J48">
        <v>6</v>
      </c>
      <c r="K48" s="11">
        <v>5</v>
      </c>
      <c r="L48" s="11" t="str">
        <f t="shared" si="5"/>
        <v>Excellent Performer</v>
      </c>
      <c r="M48" s="11">
        <v>43</v>
      </c>
      <c r="N48" s="11" t="str">
        <f t="shared" si="6"/>
        <v>Established Professional</v>
      </c>
      <c r="O48" s="11">
        <f t="shared" si="7"/>
        <v>17</v>
      </c>
      <c r="P48" s="12">
        <v>2376645</v>
      </c>
      <c r="Q48" t="str">
        <f t="shared" si="9"/>
        <v>Medium</v>
      </c>
    </row>
    <row r="49" spans="1:17" ht="12.5" x14ac:dyDescent="0.25">
      <c r="A49" s="9" t="s">
        <v>66</v>
      </c>
      <c r="B49" s="9" t="s">
        <v>36</v>
      </c>
      <c r="C49" s="9" t="s">
        <v>37</v>
      </c>
      <c r="D49" s="10">
        <v>43102</v>
      </c>
      <c r="E49" s="10" t="str">
        <f t="shared" si="1"/>
        <v>2018</v>
      </c>
      <c r="F49" s="10" t="str">
        <f t="shared" si="2"/>
        <v>Jan</v>
      </c>
      <c r="G49" s="10" t="str">
        <f t="shared" si="3"/>
        <v>Q1</v>
      </c>
      <c r="H49" s="11">
        <f t="shared" ca="1" si="0"/>
        <v>7</v>
      </c>
      <c r="I49" t="str">
        <f t="shared" ca="1" si="4"/>
        <v>Established</v>
      </c>
      <c r="J49">
        <v>2</v>
      </c>
      <c r="K49" s="11">
        <v>2</v>
      </c>
      <c r="L49" s="11" t="str">
        <f t="shared" si="5"/>
        <v>Fair Performer</v>
      </c>
      <c r="M49" s="11">
        <v>37</v>
      </c>
      <c r="N49" s="11" t="str">
        <f t="shared" si="6"/>
        <v>Established Professional</v>
      </c>
      <c r="O49" s="11">
        <f t="shared" si="7"/>
        <v>23</v>
      </c>
      <c r="P49" s="12">
        <v>4617027</v>
      </c>
      <c r="Q49" t="str">
        <f t="shared" si="9"/>
        <v>Very High</v>
      </c>
    </row>
    <row r="50" spans="1:17" ht="12.5" x14ac:dyDescent="0.25">
      <c r="A50" s="9" t="s">
        <v>67</v>
      </c>
      <c r="B50" s="9" t="s">
        <v>20</v>
      </c>
      <c r="C50" s="9" t="s">
        <v>21</v>
      </c>
      <c r="D50" s="10">
        <v>39572</v>
      </c>
      <c r="E50" s="10" t="str">
        <f t="shared" si="1"/>
        <v>2008</v>
      </c>
      <c r="F50" s="10" t="str">
        <f t="shared" si="2"/>
        <v>May</v>
      </c>
      <c r="G50" s="10" t="str">
        <f t="shared" si="3"/>
        <v>Q2</v>
      </c>
      <c r="H50" s="11">
        <f t="shared" ca="1" si="0"/>
        <v>17</v>
      </c>
      <c r="I50" t="str">
        <f t="shared" ca="1" si="4"/>
        <v>Senior</v>
      </c>
      <c r="J50">
        <v>2</v>
      </c>
      <c r="K50" s="11">
        <v>3</v>
      </c>
      <c r="L50" s="11" t="str">
        <f t="shared" si="5"/>
        <v>Average Performer</v>
      </c>
      <c r="M50" s="11">
        <v>54</v>
      </c>
      <c r="N50" s="11" t="str">
        <f t="shared" si="6"/>
        <v>Senior Professional</v>
      </c>
      <c r="O50" s="11">
        <f t="shared" si="7"/>
        <v>6</v>
      </c>
      <c r="P50" s="12">
        <v>2215688</v>
      </c>
      <c r="Q50" t="str">
        <f t="shared" si="9"/>
        <v>Medium</v>
      </c>
    </row>
    <row r="51" spans="1:17" ht="12.5" x14ac:dyDescent="0.25">
      <c r="A51" s="9" t="s">
        <v>68</v>
      </c>
      <c r="B51" s="9" t="s">
        <v>36</v>
      </c>
      <c r="C51" s="9" t="s">
        <v>37</v>
      </c>
      <c r="D51" s="10">
        <v>44943</v>
      </c>
      <c r="E51" s="10" t="str">
        <f t="shared" si="1"/>
        <v>2023</v>
      </c>
      <c r="F51" s="10" t="str">
        <f t="shared" si="2"/>
        <v>Jan</v>
      </c>
      <c r="G51" s="10" t="str">
        <f t="shared" si="3"/>
        <v>Q1</v>
      </c>
      <c r="H51" s="11">
        <f t="shared" ca="1" si="0"/>
        <v>2</v>
      </c>
      <c r="I51" t="str">
        <f t="shared" ca="1" si="4"/>
        <v>Junior</v>
      </c>
      <c r="J51">
        <v>5</v>
      </c>
      <c r="K51" s="11">
        <v>2</v>
      </c>
      <c r="L51" s="11" t="str">
        <f t="shared" si="5"/>
        <v>Fair Performer</v>
      </c>
      <c r="M51" s="11">
        <v>45</v>
      </c>
      <c r="N51" s="11" t="str">
        <f t="shared" si="6"/>
        <v>Senior Professional</v>
      </c>
      <c r="O51" s="11">
        <f t="shared" si="7"/>
        <v>15</v>
      </c>
      <c r="P51" s="12">
        <v>373701</v>
      </c>
      <c r="Q51" t="str">
        <f t="shared" si="9"/>
        <v>Low</v>
      </c>
    </row>
    <row r="52" spans="1:17" ht="12.5" x14ac:dyDescent="0.25">
      <c r="A52" s="9" t="s">
        <v>69</v>
      </c>
      <c r="B52" s="9" t="s">
        <v>10</v>
      </c>
      <c r="C52" s="9" t="s">
        <v>11</v>
      </c>
      <c r="D52" s="10">
        <v>40423</v>
      </c>
      <c r="E52" s="10" t="str">
        <f t="shared" si="1"/>
        <v>2010</v>
      </c>
      <c r="F52" s="10" t="str">
        <f t="shared" si="2"/>
        <v>Sep</v>
      </c>
      <c r="G52" s="10" t="str">
        <f t="shared" si="3"/>
        <v>Q3</v>
      </c>
      <c r="H52" s="11">
        <f t="shared" ca="1" si="0"/>
        <v>15</v>
      </c>
      <c r="I52" t="str">
        <f t="shared" ca="1" si="4"/>
        <v>Senior</v>
      </c>
      <c r="J52">
        <v>6</v>
      </c>
      <c r="K52" s="11">
        <v>4</v>
      </c>
      <c r="L52" s="11" t="str">
        <f t="shared" si="5"/>
        <v>Good Performer</v>
      </c>
      <c r="M52" s="11">
        <v>42</v>
      </c>
      <c r="N52" s="11" t="str">
        <f t="shared" si="6"/>
        <v>Established Professional</v>
      </c>
      <c r="O52" s="11">
        <f t="shared" si="7"/>
        <v>18</v>
      </c>
      <c r="P52" s="12">
        <v>3256825</v>
      </c>
      <c r="Q52" t="str">
        <f t="shared" si="9"/>
        <v>High</v>
      </c>
    </row>
    <row r="53" spans="1:17" ht="12.5" x14ac:dyDescent="0.25">
      <c r="A53" s="9" t="s">
        <v>70</v>
      </c>
      <c r="B53" s="9" t="s">
        <v>10</v>
      </c>
      <c r="C53" s="9" t="s">
        <v>11</v>
      </c>
      <c r="D53" s="10">
        <v>40636</v>
      </c>
      <c r="E53" s="10" t="str">
        <f t="shared" si="1"/>
        <v>2011</v>
      </c>
      <c r="F53" s="10" t="str">
        <f t="shared" si="2"/>
        <v>Apr</v>
      </c>
      <c r="G53" s="10" t="str">
        <f t="shared" si="3"/>
        <v>Q2</v>
      </c>
      <c r="H53" s="11">
        <f t="shared" ca="1" si="0"/>
        <v>14</v>
      </c>
      <c r="I53" t="str">
        <f t="shared" ca="1" si="4"/>
        <v>Senior</v>
      </c>
      <c r="J53">
        <v>6</v>
      </c>
      <c r="K53" s="11">
        <v>5</v>
      </c>
      <c r="L53" s="11" t="str">
        <f t="shared" si="5"/>
        <v>Excellent Performer</v>
      </c>
      <c r="M53" s="11">
        <v>53</v>
      </c>
      <c r="N53" s="11" t="str">
        <f t="shared" si="6"/>
        <v>Senior Professional</v>
      </c>
      <c r="O53" s="11">
        <f t="shared" si="7"/>
        <v>7</v>
      </c>
      <c r="P53" s="12">
        <v>1199856</v>
      </c>
      <c r="Q53" t="str">
        <f t="shared" si="9"/>
        <v>Low</v>
      </c>
    </row>
    <row r="54" spans="1:17" ht="12.5" x14ac:dyDescent="0.25">
      <c r="A54" s="9" t="s">
        <v>71</v>
      </c>
      <c r="B54" s="9" t="s">
        <v>10</v>
      </c>
      <c r="C54" s="9" t="s">
        <v>11</v>
      </c>
      <c r="D54" s="10">
        <v>41569</v>
      </c>
      <c r="E54" s="10" t="str">
        <f t="shared" si="1"/>
        <v>2013</v>
      </c>
      <c r="F54" s="10" t="str">
        <f t="shared" si="2"/>
        <v>Oct</v>
      </c>
      <c r="G54" s="10" t="str">
        <f t="shared" si="3"/>
        <v>Q4</v>
      </c>
      <c r="H54" s="11">
        <f t="shared" ca="1" si="0"/>
        <v>12</v>
      </c>
      <c r="I54" t="str">
        <f t="shared" ca="1" si="4"/>
        <v>Senior</v>
      </c>
      <c r="J54">
        <v>5</v>
      </c>
      <c r="K54" s="11">
        <v>2</v>
      </c>
      <c r="L54" s="11" t="str">
        <f t="shared" si="5"/>
        <v>Fair Performer</v>
      </c>
      <c r="M54" s="11">
        <v>33</v>
      </c>
      <c r="N54" s="11" t="str">
        <f t="shared" si="6"/>
        <v>Emerging Professional</v>
      </c>
      <c r="O54" s="11">
        <f t="shared" si="7"/>
        <v>27</v>
      </c>
      <c r="P54" s="12">
        <v>1242018</v>
      </c>
      <c r="Q54" t="str">
        <f t="shared" si="9"/>
        <v>Low</v>
      </c>
    </row>
    <row r="55" spans="1:17" ht="12.5" x14ac:dyDescent="0.25">
      <c r="A55" s="9" t="s">
        <v>72</v>
      </c>
      <c r="B55" s="9" t="s">
        <v>36</v>
      </c>
      <c r="C55" s="9" t="s">
        <v>37</v>
      </c>
      <c r="D55" s="10">
        <v>40585</v>
      </c>
      <c r="E55" s="10" t="str">
        <f t="shared" si="1"/>
        <v>2011</v>
      </c>
      <c r="F55" s="10" t="str">
        <f t="shared" si="2"/>
        <v>Feb</v>
      </c>
      <c r="G55" s="10" t="str">
        <f t="shared" si="3"/>
        <v>Q1</v>
      </c>
      <c r="H55" s="11">
        <f t="shared" ca="1" si="0"/>
        <v>14</v>
      </c>
      <c r="I55" t="str">
        <f t="shared" ca="1" si="4"/>
        <v>Senior</v>
      </c>
      <c r="J55">
        <v>4</v>
      </c>
      <c r="K55" s="11">
        <v>5</v>
      </c>
      <c r="L55" s="11" t="str">
        <f t="shared" si="5"/>
        <v>Excellent Performer</v>
      </c>
      <c r="M55" s="11">
        <v>40</v>
      </c>
      <c r="N55" s="11" t="str">
        <f t="shared" si="6"/>
        <v>Established Professional</v>
      </c>
      <c r="O55" s="11">
        <f t="shared" si="7"/>
        <v>20</v>
      </c>
      <c r="P55" s="12">
        <v>2947494</v>
      </c>
      <c r="Q55" t="str">
        <f t="shared" si="9"/>
        <v>Medium</v>
      </c>
    </row>
    <row r="56" spans="1:17" ht="12.5" x14ac:dyDescent="0.25">
      <c r="A56" s="9" t="s">
        <v>73</v>
      </c>
      <c r="B56" s="9" t="s">
        <v>13</v>
      </c>
      <c r="C56" s="9" t="s">
        <v>14</v>
      </c>
      <c r="D56" s="10">
        <v>45100</v>
      </c>
      <c r="E56" s="10" t="str">
        <f t="shared" si="1"/>
        <v>2023</v>
      </c>
      <c r="F56" s="10" t="str">
        <f t="shared" si="2"/>
        <v>Jun</v>
      </c>
      <c r="G56" s="10" t="str">
        <f t="shared" si="3"/>
        <v>Q2</v>
      </c>
      <c r="H56" s="11">
        <f t="shared" ca="1" si="0"/>
        <v>2</v>
      </c>
      <c r="I56" t="str">
        <f t="shared" ca="1" si="4"/>
        <v>Junior</v>
      </c>
      <c r="J56">
        <v>3</v>
      </c>
      <c r="K56" s="11">
        <v>5</v>
      </c>
      <c r="L56" s="11" t="str">
        <f t="shared" si="5"/>
        <v>Excellent Performer</v>
      </c>
      <c r="M56" s="11">
        <v>46</v>
      </c>
      <c r="N56" s="11" t="str">
        <f t="shared" si="6"/>
        <v>Senior Professional</v>
      </c>
      <c r="O56" s="11">
        <f t="shared" si="7"/>
        <v>14</v>
      </c>
      <c r="P56" s="12">
        <v>5302007</v>
      </c>
      <c r="Q56" t="str">
        <f t="shared" si="9"/>
        <v>Very High</v>
      </c>
    </row>
    <row r="57" spans="1:17" ht="12.5" x14ac:dyDescent="0.25">
      <c r="A57" s="9" t="s">
        <v>74</v>
      </c>
      <c r="B57" s="9" t="s">
        <v>36</v>
      </c>
      <c r="C57" s="9" t="s">
        <v>37</v>
      </c>
      <c r="D57" s="10">
        <v>41161</v>
      </c>
      <c r="E57" s="10" t="str">
        <f t="shared" si="1"/>
        <v>2012</v>
      </c>
      <c r="F57" s="10" t="str">
        <f t="shared" si="2"/>
        <v>Sep</v>
      </c>
      <c r="G57" s="10" t="str">
        <f t="shared" si="3"/>
        <v>Q3</v>
      </c>
      <c r="H57" s="11">
        <f t="shared" ca="1" si="0"/>
        <v>13</v>
      </c>
      <c r="I57" t="str">
        <f t="shared" ca="1" si="4"/>
        <v>Senior</v>
      </c>
      <c r="J57">
        <v>6</v>
      </c>
      <c r="K57" s="11">
        <v>4</v>
      </c>
      <c r="L57" s="11" t="str">
        <f t="shared" si="5"/>
        <v>Good Performer</v>
      </c>
      <c r="M57" s="11">
        <v>45</v>
      </c>
      <c r="N57" s="11" t="str">
        <f t="shared" si="6"/>
        <v>Senior Professional</v>
      </c>
      <c r="O57" s="11">
        <f t="shared" si="7"/>
        <v>15</v>
      </c>
      <c r="P57" s="12">
        <v>4421375</v>
      </c>
      <c r="Q57" t="str">
        <f t="shared" si="9"/>
        <v>High</v>
      </c>
    </row>
    <row r="58" spans="1:17" ht="12.5" x14ac:dyDescent="0.25">
      <c r="A58" s="9" t="s">
        <v>75</v>
      </c>
      <c r="B58" s="9" t="s">
        <v>49</v>
      </c>
      <c r="C58" s="9" t="s">
        <v>50</v>
      </c>
      <c r="D58" s="10">
        <v>40811</v>
      </c>
      <c r="E58" s="10" t="str">
        <f t="shared" si="1"/>
        <v>2011</v>
      </c>
      <c r="F58" s="10" t="str">
        <f t="shared" si="2"/>
        <v>Sep</v>
      </c>
      <c r="G58" s="10" t="str">
        <f t="shared" si="3"/>
        <v>Q3</v>
      </c>
      <c r="H58" s="11">
        <f t="shared" ca="1" si="0"/>
        <v>14</v>
      </c>
      <c r="I58" t="str">
        <f t="shared" ca="1" si="4"/>
        <v>Senior</v>
      </c>
      <c r="J58">
        <v>5</v>
      </c>
      <c r="K58" s="11">
        <v>2</v>
      </c>
      <c r="L58" s="11" t="str">
        <f t="shared" si="5"/>
        <v>Fair Performer</v>
      </c>
      <c r="M58" s="11">
        <v>29</v>
      </c>
      <c r="N58" s="11" t="str">
        <f t="shared" si="6"/>
        <v>Emerging Professional</v>
      </c>
      <c r="O58" s="11">
        <f t="shared" si="7"/>
        <v>31</v>
      </c>
      <c r="P58" s="12">
        <v>802227</v>
      </c>
      <c r="Q58" t="str">
        <f t="shared" si="9"/>
        <v>Low</v>
      </c>
    </row>
    <row r="59" spans="1:17" ht="12.5" x14ac:dyDescent="0.25">
      <c r="A59" s="9" t="s">
        <v>76</v>
      </c>
      <c r="B59" s="9" t="s">
        <v>13</v>
      </c>
      <c r="C59" s="9" t="s">
        <v>14</v>
      </c>
      <c r="D59" s="10">
        <v>39198</v>
      </c>
      <c r="E59" s="10" t="str">
        <f t="shared" si="1"/>
        <v>2007</v>
      </c>
      <c r="F59" s="10" t="str">
        <f t="shared" si="2"/>
        <v>Apr</v>
      </c>
      <c r="G59" s="10" t="str">
        <f t="shared" si="3"/>
        <v>Q2</v>
      </c>
      <c r="H59" s="11">
        <f t="shared" ca="1" si="0"/>
        <v>18</v>
      </c>
      <c r="I59" t="str">
        <f t="shared" ca="1" si="4"/>
        <v>Senior</v>
      </c>
      <c r="J59">
        <v>5</v>
      </c>
      <c r="K59" s="11">
        <v>1</v>
      </c>
      <c r="L59" s="11" t="str">
        <f t="shared" si="5"/>
        <v>Poor Performer</v>
      </c>
      <c r="M59" s="11">
        <v>40</v>
      </c>
      <c r="N59" s="11" t="str">
        <f t="shared" si="6"/>
        <v>Established Professional</v>
      </c>
      <c r="O59" s="11">
        <f t="shared" si="7"/>
        <v>20</v>
      </c>
      <c r="P59" s="12">
        <v>5108462</v>
      </c>
      <c r="Q59" t="str">
        <f t="shared" si="9"/>
        <v>Very High</v>
      </c>
    </row>
    <row r="60" spans="1:17" ht="12.5" x14ac:dyDescent="0.25">
      <c r="A60" s="9" t="s">
        <v>77</v>
      </c>
      <c r="B60" s="9" t="s">
        <v>16</v>
      </c>
      <c r="C60" s="9" t="s">
        <v>17</v>
      </c>
      <c r="D60" s="10">
        <v>44966</v>
      </c>
      <c r="E60" s="10" t="str">
        <f t="shared" si="1"/>
        <v>2023</v>
      </c>
      <c r="F60" s="10" t="str">
        <f t="shared" si="2"/>
        <v>Feb</v>
      </c>
      <c r="G60" s="10" t="str">
        <f t="shared" si="3"/>
        <v>Q1</v>
      </c>
      <c r="H60" s="11">
        <f t="shared" ca="1" si="0"/>
        <v>2</v>
      </c>
      <c r="I60" t="str">
        <f t="shared" ca="1" si="4"/>
        <v>Junior</v>
      </c>
      <c r="J60">
        <v>2</v>
      </c>
      <c r="K60" s="11">
        <v>1</v>
      </c>
      <c r="L60" s="11" t="str">
        <f t="shared" si="5"/>
        <v>Poor Performer</v>
      </c>
      <c r="M60" s="11">
        <v>53</v>
      </c>
      <c r="N60" s="11" t="str">
        <f t="shared" si="6"/>
        <v>Senior Professional</v>
      </c>
      <c r="O60" s="11">
        <f t="shared" si="7"/>
        <v>7</v>
      </c>
      <c r="P60" s="12">
        <v>383525</v>
      </c>
      <c r="Q60" t="str">
        <f t="shared" si="9"/>
        <v>Low</v>
      </c>
    </row>
    <row r="61" spans="1:17" ht="12.5" x14ac:dyDescent="0.25">
      <c r="A61" s="9" t="s">
        <v>78</v>
      </c>
      <c r="B61" s="9" t="s">
        <v>20</v>
      </c>
      <c r="C61" s="9" t="s">
        <v>21</v>
      </c>
      <c r="D61" s="10">
        <v>41617</v>
      </c>
      <c r="E61" s="10" t="str">
        <f t="shared" si="1"/>
        <v>2013</v>
      </c>
      <c r="F61" s="10" t="str">
        <f t="shared" si="2"/>
        <v>Dec</v>
      </c>
      <c r="G61" s="10" t="str">
        <f t="shared" si="3"/>
        <v>Q4</v>
      </c>
      <c r="H61" s="11">
        <f t="shared" ca="1" si="0"/>
        <v>12</v>
      </c>
      <c r="I61" t="str">
        <f t="shared" ca="1" si="4"/>
        <v>Senior</v>
      </c>
      <c r="J61">
        <v>5</v>
      </c>
      <c r="K61" s="11">
        <v>1</v>
      </c>
      <c r="L61" s="11" t="str">
        <f t="shared" si="5"/>
        <v>Poor Performer</v>
      </c>
      <c r="M61" s="11">
        <v>42</v>
      </c>
      <c r="N61" s="11" t="str">
        <f t="shared" si="6"/>
        <v>Established Professional</v>
      </c>
      <c r="O61" s="11">
        <f t="shared" si="7"/>
        <v>18</v>
      </c>
      <c r="P61" s="12">
        <v>1735989</v>
      </c>
      <c r="Q61" t="str">
        <f t="shared" si="9"/>
        <v>Low</v>
      </c>
    </row>
    <row r="62" spans="1:17" ht="12.5" x14ac:dyDescent="0.25">
      <c r="A62" s="9" t="s">
        <v>79</v>
      </c>
      <c r="B62" s="9" t="s">
        <v>13</v>
      </c>
      <c r="C62" s="9" t="s">
        <v>14</v>
      </c>
      <c r="D62" s="10">
        <v>41042</v>
      </c>
      <c r="E62" s="10" t="str">
        <f t="shared" si="1"/>
        <v>2012</v>
      </c>
      <c r="F62" s="10" t="str">
        <f t="shared" si="2"/>
        <v>May</v>
      </c>
      <c r="G62" s="10" t="str">
        <f t="shared" si="3"/>
        <v>Q2</v>
      </c>
      <c r="H62" s="11">
        <f t="shared" ca="1" si="0"/>
        <v>13</v>
      </c>
      <c r="I62" t="str">
        <f t="shared" ca="1" si="4"/>
        <v>Senior</v>
      </c>
      <c r="J62">
        <v>7</v>
      </c>
      <c r="K62" s="11">
        <v>4</v>
      </c>
      <c r="L62" s="11" t="str">
        <f t="shared" si="5"/>
        <v>Good Performer</v>
      </c>
      <c r="M62" s="11">
        <v>23</v>
      </c>
      <c r="N62" s="11" t="str">
        <f t="shared" si="6"/>
        <v>Young Talent</v>
      </c>
      <c r="O62" s="11">
        <f t="shared" si="7"/>
        <v>37</v>
      </c>
      <c r="P62" s="12">
        <v>1639761</v>
      </c>
      <c r="Q62" t="str">
        <f t="shared" si="9"/>
        <v>Low</v>
      </c>
    </row>
    <row r="63" spans="1:17" ht="12.5" x14ac:dyDescent="0.25">
      <c r="A63" s="9" t="s">
        <v>80</v>
      </c>
      <c r="B63" s="9" t="s">
        <v>4</v>
      </c>
      <c r="C63" s="9" t="s">
        <v>5</v>
      </c>
      <c r="D63" s="10">
        <v>43308</v>
      </c>
      <c r="E63" s="10" t="str">
        <f t="shared" si="1"/>
        <v>2018</v>
      </c>
      <c r="F63" s="10" t="str">
        <f t="shared" si="2"/>
        <v>Jul</v>
      </c>
      <c r="G63" s="10" t="str">
        <f t="shared" si="3"/>
        <v>Q3</v>
      </c>
      <c r="H63" s="11">
        <f t="shared" ca="1" si="0"/>
        <v>7</v>
      </c>
      <c r="I63" t="str">
        <f t="shared" ca="1" si="4"/>
        <v>Established</v>
      </c>
      <c r="J63">
        <v>2</v>
      </c>
      <c r="K63" s="11">
        <v>4</v>
      </c>
      <c r="L63" s="11" t="str">
        <f t="shared" si="5"/>
        <v>Good Performer</v>
      </c>
      <c r="M63" s="11">
        <v>37</v>
      </c>
      <c r="N63" s="11" t="str">
        <f t="shared" si="6"/>
        <v>Established Professional</v>
      </c>
      <c r="O63" s="11">
        <f t="shared" si="7"/>
        <v>23</v>
      </c>
      <c r="P63" s="12">
        <v>3291711</v>
      </c>
      <c r="Q63" t="str">
        <f t="shared" si="9"/>
        <v>High</v>
      </c>
    </row>
    <row r="64" spans="1:17" ht="12.5" x14ac:dyDescent="0.25">
      <c r="A64" s="9" t="s">
        <v>81</v>
      </c>
      <c r="B64" s="9" t="s">
        <v>49</v>
      </c>
      <c r="C64" s="9" t="s">
        <v>50</v>
      </c>
      <c r="D64" s="10">
        <v>38558</v>
      </c>
      <c r="E64" s="10" t="str">
        <f t="shared" si="1"/>
        <v>2005</v>
      </c>
      <c r="F64" s="10" t="str">
        <f t="shared" si="2"/>
        <v>Jul</v>
      </c>
      <c r="G64" s="10" t="str">
        <f t="shared" si="3"/>
        <v>Q3</v>
      </c>
      <c r="H64" s="11">
        <f t="shared" ca="1" si="0"/>
        <v>20</v>
      </c>
      <c r="I64" t="str">
        <f t="shared" ca="1" si="4"/>
        <v>Senior</v>
      </c>
      <c r="J64">
        <v>3</v>
      </c>
      <c r="K64" s="11">
        <v>4</v>
      </c>
      <c r="L64" s="11" t="str">
        <f t="shared" si="5"/>
        <v>Good Performer</v>
      </c>
      <c r="M64" s="11">
        <v>40</v>
      </c>
      <c r="N64" s="11" t="str">
        <f t="shared" si="6"/>
        <v>Established Professional</v>
      </c>
      <c r="O64" s="11">
        <f t="shared" si="7"/>
        <v>20</v>
      </c>
      <c r="P64" s="12">
        <v>2613652</v>
      </c>
      <c r="Q64" t="str">
        <f t="shared" si="9"/>
        <v>Medium</v>
      </c>
    </row>
    <row r="65" spans="1:17" ht="12.5" x14ac:dyDescent="0.25">
      <c r="A65" s="9" t="s">
        <v>82</v>
      </c>
      <c r="B65" s="9" t="s">
        <v>10</v>
      </c>
      <c r="C65" s="9" t="s">
        <v>11</v>
      </c>
      <c r="D65" s="10">
        <v>40606</v>
      </c>
      <c r="E65" s="10" t="str">
        <f t="shared" si="1"/>
        <v>2011</v>
      </c>
      <c r="F65" s="10" t="str">
        <f t="shared" si="2"/>
        <v>Mar</v>
      </c>
      <c r="G65" s="10" t="str">
        <f t="shared" si="3"/>
        <v>Q1</v>
      </c>
      <c r="H65" s="11">
        <f t="shared" ca="1" si="0"/>
        <v>14</v>
      </c>
      <c r="I65" t="str">
        <f t="shared" ca="1" si="4"/>
        <v>Senior</v>
      </c>
      <c r="J65">
        <v>6</v>
      </c>
      <c r="K65" s="11">
        <v>4</v>
      </c>
      <c r="L65" s="11" t="str">
        <f t="shared" si="5"/>
        <v>Good Performer</v>
      </c>
      <c r="M65" s="11">
        <v>24</v>
      </c>
      <c r="N65" s="11" t="str">
        <f t="shared" si="6"/>
        <v>Young Talent</v>
      </c>
      <c r="O65" s="11">
        <f t="shared" si="7"/>
        <v>36</v>
      </c>
      <c r="P65" s="12">
        <v>4865886</v>
      </c>
      <c r="Q65" t="str">
        <f t="shared" si="9"/>
        <v>Very High</v>
      </c>
    </row>
    <row r="66" spans="1:17" ht="12.5" x14ac:dyDescent="0.25">
      <c r="A66" s="9" t="s">
        <v>83</v>
      </c>
      <c r="B66" s="9" t="s">
        <v>4</v>
      </c>
      <c r="C66" s="9" t="s">
        <v>5</v>
      </c>
      <c r="D66" s="10">
        <v>45121</v>
      </c>
      <c r="E66" s="10" t="str">
        <f t="shared" si="1"/>
        <v>2023</v>
      </c>
      <c r="F66" s="10" t="str">
        <f t="shared" si="2"/>
        <v>Jul</v>
      </c>
      <c r="G66" s="10" t="str">
        <f t="shared" si="3"/>
        <v>Q3</v>
      </c>
      <c r="H66" s="11">
        <f t="shared" ref="H66:H129" ca="1" si="10">TEXT(TODAY(), "YYYY")-TEXT(D66, "YYYY")</f>
        <v>2</v>
      </c>
      <c r="I66" t="str">
        <f t="shared" ca="1" si="4"/>
        <v>Junior</v>
      </c>
      <c r="J66">
        <v>6</v>
      </c>
      <c r="K66" s="11">
        <v>1</v>
      </c>
      <c r="L66" s="11" t="str">
        <f t="shared" si="5"/>
        <v>Poor Performer</v>
      </c>
      <c r="M66" s="11">
        <v>52</v>
      </c>
      <c r="N66" s="11" t="str">
        <f t="shared" si="6"/>
        <v>Senior Professional</v>
      </c>
      <c r="O66" s="11">
        <f t="shared" si="7"/>
        <v>8</v>
      </c>
      <c r="P66" s="12">
        <v>4081454</v>
      </c>
      <c r="Q66" t="str">
        <f t="shared" si="9"/>
        <v>High</v>
      </c>
    </row>
    <row r="67" spans="1:17" ht="12.5" x14ac:dyDescent="0.25">
      <c r="A67" s="9" t="s">
        <v>84</v>
      </c>
      <c r="B67" s="9" t="s">
        <v>16</v>
      </c>
      <c r="C67" s="9" t="s">
        <v>17</v>
      </c>
      <c r="D67" s="10">
        <v>42923</v>
      </c>
      <c r="E67" s="10" t="str">
        <f t="shared" ref="E67:E130" si="11">TEXT(D67, "YYYY")</f>
        <v>2017</v>
      </c>
      <c r="F67" s="10" t="str">
        <f t="shared" ref="F67:F130" si="12">TEXT(D67, "MMM")</f>
        <v>Jul</v>
      </c>
      <c r="G67" s="10" t="str">
        <f t="shared" ref="G67:G130" si="13">"Q" &amp; ROUNDUP(MONTH(D67)/3,0)</f>
        <v>Q3</v>
      </c>
      <c r="H67" s="11">
        <f t="shared" ca="1" si="10"/>
        <v>8</v>
      </c>
      <c r="I67" t="str">
        <f t="shared" ref="I67:I130" ca="1" si="14">IF(AND(H67&gt;=0, H67&lt;2), "Fresher", IF(AND(H67&gt;=2, H67&lt;5), "Junior", IF(AND(H67&gt;=5, H67&lt;10), "Established", "Senior")))</f>
        <v>Established</v>
      </c>
      <c r="J67">
        <v>5</v>
      </c>
      <c r="K67" s="11">
        <v>5</v>
      </c>
      <c r="L67" s="11" t="str">
        <f t="shared" ref="L67:L130" si="15">IF(K67=1, "Poor Performer", IF(K67=2, "Fair Performer", IF(K67=3, "Average Performer", IF(K67=4, "Good Performer", "Excellent Performer"))))</f>
        <v>Excellent Performer</v>
      </c>
      <c r="M67" s="11">
        <v>39</v>
      </c>
      <c r="N67" s="11" t="str">
        <f t="shared" ref="N67:N130" si="16">IF(AND(M67&lt;25), "Young Talent", IF(AND(M67&gt;=25, M67&lt;35), "Emerging Professional", IF(AND(M67&gt;=35, M67&lt;45), "Established Professional", "Senior Professional")))</f>
        <v>Established Professional</v>
      </c>
      <c r="O67" s="11">
        <f t="shared" ref="O67:O130" si="17">60-M67</f>
        <v>21</v>
      </c>
      <c r="P67" s="12">
        <v>4234834</v>
      </c>
      <c r="Q67" t="str">
        <f t="shared" si="9"/>
        <v>High</v>
      </c>
    </row>
    <row r="68" spans="1:17" ht="12.5" x14ac:dyDescent="0.25">
      <c r="A68" s="9" t="s">
        <v>85</v>
      </c>
      <c r="B68" s="9" t="s">
        <v>10</v>
      </c>
      <c r="C68" s="9" t="s">
        <v>11</v>
      </c>
      <c r="D68" s="10">
        <v>45266</v>
      </c>
      <c r="E68" s="10" t="str">
        <f t="shared" si="11"/>
        <v>2023</v>
      </c>
      <c r="F68" s="10" t="str">
        <f t="shared" si="12"/>
        <v>Dec</v>
      </c>
      <c r="G68" s="10" t="str">
        <f t="shared" si="13"/>
        <v>Q4</v>
      </c>
      <c r="H68" s="11">
        <f t="shared" ca="1" si="10"/>
        <v>2</v>
      </c>
      <c r="I68" t="str">
        <f t="shared" ca="1" si="14"/>
        <v>Junior</v>
      </c>
      <c r="J68">
        <v>6</v>
      </c>
      <c r="K68" s="11">
        <v>1</v>
      </c>
      <c r="L68" s="11" t="str">
        <f t="shared" si="15"/>
        <v>Poor Performer</v>
      </c>
      <c r="M68" s="11">
        <v>45</v>
      </c>
      <c r="N68" s="11" t="str">
        <f t="shared" si="16"/>
        <v>Senior Professional</v>
      </c>
      <c r="O68" s="11">
        <f t="shared" si="17"/>
        <v>15</v>
      </c>
      <c r="P68" s="12">
        <v>3115188</v>
      </c>
      <c r="Q68" t="str">
        <f t="shared" si="9"/>
        <v>High</v>
      </c>
    </row>
    <row r="69" spans="1:17" ht="12.5" x14ac:dyDescent="0.25">
      <c r="A69" s="9" t="s">
        <v>86</v>
      </c>
      <c r="B69" s="9" t="s">
        <v>49</v>
      </c>
      <c r="C69" s="9" t="s">
        <v>50</v>
      </c>
      <c r="D69" s="10">
        <v>41913</v>
      </c>
      <c r="E69" s="10" t="str">
        <f t="shared" si="11"/>
        <v>2014</v>
      </c>
      <c r="F69" s="10" t="str">
        <f t="shared" si="12"/>
        <v>Oct</v>
      </c>
      <c r="G69" s="10" t="str">
        <f t="shared" si="13"/>
        <v>Q4</v>
      </c>
      <c r="H69" s="11">
        <f t="shared" ca="1" si="10"/>
        <v>11</v>
      </c>
      <c r="I69" t="str">
        <f t="shared" ca="1" si="14"/>
        <v>Senior</v>
      </c>
      <c r="J69">
        <v>2</v>
      </c>
      <c r="K69" s="11">
        <v>3</v>
      </c>
      <c r="L69" s="11" t="str">
        <f t="shared" si="15"/>
        <v>Average Performer</v>
      </c>
      <c r="M69" s="11">
        <v>21</v>
      </c>
      <c r="N69" s="11" t="str">
        <f t="shared" si="16"/>
        <v>Young Talent</v>
      </c>
      <c r="O69" s="11">
        <f t="shared" si="17"/>
        <v>39</v>
      </c>
      <c r="P69" s="12">
        <v>4128083</v>
      </c>
      <c r="Q69" t="str">
        <f t="shared" si="9"/>
        <v>High</v>
      </c>
    </row>
    <row r="70" spans="1:17" ht="12.5" x14ac:dyDescent="0.25">
      <c r="A70" s="9" t="s">
        <v>87</v>
      </c>
      <c r="B70" s="9" t="s">
        <v>16</v>
      </c>
      <c r="C70" s="9" t="s">
        <v>17</v>
      </c>
      <c r="D70" s="10">
        <v>41915</v>
      </c>
      <c r="E70" s="10" t="str">
        <f t="shared" si="11"/>
        <v>2014</v>
      </c>
      <c r="F70" s="10" t="str">
        <f t="shared" si="12"/>
        <v>Oct</v>
      </c>
      <c r="G70" s="10" t="str">
        <f t="shared" si="13"/>
        <v>Q4</v>
      </c>
      <c r="H70" s="11">
        <f t="shared" ca="1" si="10"/>
        <v>11</v>
      </c>
      <c r="I70" t="str">
        <f t="shared" ca="1" si="14"/>
        <v>Senior</v>
      </c>
      <c r="J70">
        <v>2</v>
      </c>
      <c r="K70" s="11">
        <v>4</v>
      </c>
      <c r="L70" s="11" t="str">
        <f t="shared" si="15"/>
        <v>Good Performer</v>
      </c>
      <c r="M70" s="11">
        <v>50</v>
      </c>
      <c r="N70" s="11" t="str">
        <f t="shared" si="16"/>
        <v>Senior Professional</v>
      </c>
      <c r="O70" s="11">
        <f t="shared" si="17"/>
        <v>10</v>
      </c>
      <c r="P70" s="12">
        <v>4529018</v>
      </c>
      <c r="Q70" t="str">
        <f t="shared" si="9"/>
        <v>Very High</v>
      </c>
    </row>
    <row r="71" spans="1:17" ht="12.5" x14ac:dyDescent="0.25">
      <c r="A71" s="9" t="s">
        <v>88</v>
      </c>
      <c r="B71" s="9" t="s">
        <v>7</v>
      </c>
      <c r="C71" s="9" t="s">
        <v>8</v>
      </c>
      <c r="D71" s="10">
        <v>44131</v>
      </c>
      <c r="E71" s="10" t="str">
        <f t="shared" si="11"/>
        <v>2020</v>
      </c>
      <c r="F71" s="10" t="str">
        <f t="shared" si="12"/>
        <v>Oct</v>
      </c>
      <c r="G71" s="10" t="str">
        <f t="shared" si="13"/>
        <v>Q4</v>
      </c>
      <c r="H71" s="11">
        <f t="shared" ca="1" si="10"/>
        <v>5</v>
      </c>
      <c r="I71" t="str">
        <f t="shared" ca="1" si="14"/>
        <v>Established</v>
      </c>
      <c r="J71">
        <v>3</v>
      </c>
      <c r="K71" s="11">
        <v>5</v>
      </c>
      <c r="L71" s="11" t="str">
        <f t="shared" si="15"/>
        <v>Excellent Performer</v>
      </c>
      <c r="M71" s="11">
        <v>54</v>
      </c>
      <c r="N71" s="11" t="str">
        <f t="shared" si="16"/>
        <v>Senior Professional</v>
      </c>
      <c r="O71" s="11">
        <f t="shared" si="17"/>
        <v>6</v>
      </c>
      <c r="P71" s="12">
        <v>4316082</v>
      </c>
      <c r="Q71" t="str">
        <f t="shared" si="9"/>
        <v>High</v>
      </c>
    </row>
    <row r="72" spans="1:17" ht="12.5" x14ac:dyDescent="0.25">
      <c r="A72" s="9" t="s">
        <v>89</v>
      </c>
      <c r="B72" s="9" t="s">
        <v>36</v>
      </c>
      <c r="C72" s="9" t="s">
        <v>37</v>
      </c>
      <c r="D72" s="10">
        <v>41972</v>
      </c>
      <c r="E72" s="10" t="str">
        <f t="shared" si="11"/>
        <v>2014</v>
      </c>
      <c r="F72" s="10" t="str">
        <f t="shared" si="12"/>
        <v>Nov</v>
      </c>
      <c r="G72" s="10" t="str">
        <f t="shared" si="13"/>
        <v>Q4</v>
      </c>
      <c r="H72" s="11">
        <f t="shared" ca="1" si="10"/>
        <v>11</v>
      </c>
      <c r="I72" t="str">
        <f t="shared" ca="1" si="14"/>
        <v>Senior</v>
      </c>
      <c r="J72">
        <v>6</v>
      </c>
      <c r="K72" s="11">
        <v>1</v>
      </c>
      <c r="L72" s="11" t="str">
        <f t="shared" si="15"/>
        <v>Poor Performer</v>
      </c>
      <c r="M72" s="11">
        <v>54</v>
      </c>
      <c r="N72" s="11" t="str">
        <f t="shared" si="16"/>
        <v>Senior Professional</v>
      </c>
      <c r="O72" s="11">
        <f t="shared" si="17"/>
        <v>6</v>
      </c>
      <c r="P72" s="12">
        <v>926616</v>
      </c>
      <c r="Q72" t="str">
        <f t="shared" si="9"/>
        <v>Low</v>
      </c>
    </row>
    <row r="73" spans="1:17" ht="12.5" x14ac:dyDescent="0.25">
      <c r="A73" s="9" t="s">
        <v>90</v>
      </c>
      <c r="B73" s="9" t="s">
        <v>16</v>
      </c>
      <c r="C73" s="9" t="s">
        <v>17</v>
      </c>
      <c r="D73" s="10">
        <v>40614</v>
      </c>
      <c r="E73" s="10" t="str">
        <f t="shared" si="11"/>
        <v>2011</v>
      </c>
      <c r="F73" s="10" t="str">
        <f t="shared" si="12"/>
        <v>Mar</v>
      </c>
      <c r="G73" s="10" t="str">
        <f t="shared" si="13"/>
        <v>Q1</v>
      </c>
      <c r="H73" s="11">
        <f t="shared" ca="1" si="10"/>
        <v>14</v>
      </c>
      <c r="I73" t="str">
        <f t="shared" ca="1" si="14"/>
        <v>Senior</v>
      </c>
      <c r="J73">
        <v>1</v>
      </c>
      <c r="K73" s="11">
        <v>5</v>
      </c>
      <c r="L73" s="11" t="str">
        <f t="shared" si="15"/>
        <v>Excellent Performer</v>
      </c>
      <c r="M73" s="11">
        <v>24</v>
      </c>
      <c r="N73" s="11" t="str">
        <f t="shared" si="16"/>
        <v>Young Talent</v>
      </c>
      <c r="O73" s="11">
        <f t="shared" si="17"/>
        <v>36</v>
      </c>
      <c r="P73" s="12">
        <v>1415008</v>
      </c>
      <c r="Q73" t="str">
        <f t="shared" si="9"/>
        <v>Low</v>
      </c>
    </row>
    <row r="74" spans="1:17" ht="12.5" x14ac:dyDescent="0.25">
      <c r="A74" s="9" t="s">
        <v>91</v>
      </c>
      <c r="B74" s="9" t="s">
        <v>13</v>
      </c>
      <c r="C74" s="9" t="s">
        <v>14</v>
      </c>
      <c r="D74" s="10">
        <v>45149</v>
      </c>
      <c r="E74" s="10" t="str">
        <f t="shared" si="11"/>
        <v>2023</v>
      </c>
      <c r="F74" s="10" t="str">
        <f t="shared" si="12"/>
        <v>Aug</v>
      </c>
      <c r="G74" s="10" t="str">
        <f t="shared" si="13"/>
        <v>Q3</v>
      </c>
      <c r="H74" s="11">
        <f t="shared" ca="1" si="10"/>
        <v>2</v>
      </c>
      <c r="I74" t="str">
        <f t="shared" ca="1" si="14"/>
        <v>Junior</v>
      </c>
      <c r="J74">
        <v>6</v>
      </c>
      <c r="K74" s="11">
        <v>1</v>
      </c>
      <c r="L74" s="11" t="str">
        <f t="shared" si="15"/>
        <v>Poor Performer</v>
      </c>
      <c r="M74" s="11">
        <v>34</v>
      </c>
      <c r="N74" s="11" t="str">
        <f t="shared" si="16"/>
        <v>Emerging Professional</v>
      </c>
      <c r="O74" s="11">
        <f t="shared" si="17"/>
        <v>26</v>
      </c>
      <c r="P74" s="12">
        <v>2220539</v>
      </c>
      <c r="Q74" t="str">
        <f t="shared" si="9"/>
        <v>Medium</v>
      </c>
    </row>
    <row r="75" spans="1:17" ht="12.5" x14ac:dyDescent="0.25">
      <c r="A75" s="9" t="s">
        <v>92</v>
      </c>
      <c r="B75" s="9" t="s">
        <v>49</v>
      </c>
      <c r="C75" s="9" t="s">
        <v>50</v>
      </c>
      <c r="D75" s="10">
        <v>42525</v>
      </c>
      <c r="E75" s="10" t="str">
        <f t="shared" si="11"/>
        <v>2016</v>
      </c>
      <c r="F75" s="10" t="str">
        <f t="shared" si="12"/>
        <v>Jun</v>
      </c>
      <c r="G75" s="10" t="str">
        <f t="shared" si="13"/>
        <v>Q2</v>
      </c>
      <c r="H75" s="11">
        <f t="shared" ca="1" si="10"/>
        <v>9</v>
      </c>
      <c r="I75" t="str">
        <f t="shared" ca="1" si="14"/>
        <v>Established</v>
      </c>
      <c r="J75">
        <v>1</v>
      </c>
      <c r="K75" s="11">
        <v>1</v>
      </c>
      <c r="L75" s="11" t="str">
        <f t="shared" si="15"/>
        <v>Poor Performer</v>
      </c>
      <c r="M75" s="11">
        <v>41</v>
      </c>
      <c r="N75" s="11" t="str">
        <f t="shared" si="16"/>
        <v>Established Professional</v>
      </c>
      <c r="O75" s="11">
        <f t="shared" si="17"/>
        <v>19</v>
      </c>
      <c r="P75" s="12">
        <v>1942020</v>
      </c>
      <c r="Q75" t="str">
        <f t="shared" ref="Q75:Q138" si="18">IF(P75&lt;= _xlfn.PERCENTILE.INC(P75:P446, 0.25), "Low", IF(P75&lt;= _xlfn.PERCENTILE.INC(P75:P446, 0.5),"Medium",IF(P75&lt;= _xlfn.PERCENTILE.INC(P75:P446, 0.75),"High","Very High")))</f>
        <v>Medium</v>
      </c>
    </row>
    <row r="76" spans="1:17" ht="12.5" x14ac:dyDescent="0.25">
      <c r="A76" s="9" t="s">
        <v>93</v>
      </c>
      <c r="B76" s="9" t="s">
        <v>36</v>
      </c>
      <c r="C76" s="9" t="s">
        <v>37</v>
      </c>
      <c r="D76" s="10">
        <v>38049</v>
      </c>
      <c r="E76" s="10" t="str">
        <f t="shared" si="11"/>
        <v>2004</v>
      </c>
      <c r="F76" s="10" t="str">
        <f t="shared" si="12"/>
        <v>Mar</v>
      </c>
      <c r="G76" s="10" t="str">
        <f t="shared" si="13"/>
        <v>Q1</v>
      </c>
      <c r="H76" s="11">
        <f t="shared" ca="1" si="10"/>
        <v>21</v>
      </c>
      <c r="I76" t="str">
        <f t="shared" ca="1" si="14"/>
        <v>Senior</v>
      </c>
      <c r="J76">
        <v>5</v>
      </c>
      <c r="K76" s="11">
        <v>2</v>
      </c>
      <c r="L76" s="11" t="str">
        <f t="shared" si="15"/>
        <v>Fair Performer</v>
      </c>
      <c r="M76" s="11">
        <v>39</v>
      </c>
      <c r="N76" s="11" t="str">
        <f t="shared" si="16"/>
        <v>Established Professional</v>
      </c>
      <c r="O76" s="11">
        <f t="shared" si="17"/>
        <v>21</v>
      </c>
      <c r="P76" s="12">
        <v>2088023</v>
      </c>
      <c r="Q76" t="str">
        <f t="shared" si="18"/>
        <v>Medium</v>
      </c>
    </row>
    <row r="77" spans="1:17" ht="12.5" x14ac:dyDescent="0.25">
      <c r="A77" s="9" t="s">
        <v>94</v>
      </c>
      <c r="B77" s="9" t="s">
        <v>20</v>
      </c>
      <c r="C77" s="9" t="s">
        <v>21</v>
      </c>
      <c r="D77" s="10">
        <v>44528</v>
      </c>
      <c r="E77" s="10" t="str">
        <f t="shared" si="11"/>
        <v>2021</v>
      </c>
      <c r="F77" s="10" t="str">
        <f t="shared" si="12"/>
        <v>Nov</v>
      </c>
      <c r="G77" s="10" t="str">
        <f t="shared" si="13"/>
        <v>Q4</v>
      </c>
      <c r="H77" s="11">
        <f t="shared" ca="1" si="10"/>
        <v>4</v>
      </c>
      <c r="I77" t="str">
        <f t="shared" ca="1" si="14"/>
        <v>Junior</v>
      </c>
      <c r="J77">
        <v>4</v>
      </c>
      <c r="K77" s="11">
        <v>3</v>
      </c>
      <c r="L77" s="11" t="str">
        <f t="shared" si="15"/>
        <v>Average Performer</v>
      </c>
      <c r="M77" s="11">
        <v>37</v>
      </c>
      <c r="N77" s="11" t="str">
        <f t="shared" si="16"/>
        <v>Established Professional</v>
      </c>
      <c r="O77" s="11">
        <f t="shared" si="17"/>
        <v>23</v>
      </c>
      <c r="P77" s="12">
        <v>950680</v>
      </c>
      <c r="Q77" t="str">
        <f t="shared" si="18"/>
        <v>Low</v>
      </c>
    </row>
    <row r="78" spans="1:17" ht="12.5" x14ac:dyDescent="0.25">
      <c r="A78" s="9" t="s">
        <v>95</v>
      </c>
      <c r="B78" s="9" t="s">
        <v>13</v>
      </c>
      <c r="C78" s="9" t="s">
        <v>14</v>
      </c>
      <c r="D78" s="10">
        <v>42080</v>
      </c>
      <c r="E78" s="10" t="str">
        <f t="shared" si="11"/>
        <v>2015</v>
      </c>
      <c r="F78" s="10" t="str">
        <f t="shared" si="12"/>
        <v>Mar</v>
      </c>
      <c r="G78" s="10" t="str">
        <f t="shared" si="13"/>
        <v>Q1</v>
      </c>
      <c r="H78" s="11">
        <f t="shared" ca="1" si="10"/>
        <v>10</v>
      </c>
      <c r="I78" t="str">
        <f t="shared" ca="1" si="14"/>
        <v>Senior</v>
      </c>
      <c r="J78">
        <v>7</v>
      </c>
      <c r="K78" s="11">
        <v>1</v>
      </c>
      <c r="L78" s="11" t="str">
        <f t="shared" si="15"/>
        <v>Poor Performer</v>
      </c>
      <c r="M78" s="11">
        <v>33</v>
      </c>
      <c r="N78" s="11" t="str">
        <f t="shared" si="16"/>
        <v>Emerging Professional</v>
      </c>
      <c r="O78" s="11">
        <f t="shared" si="17"/>
        <v>27</v>
      </c>
      <c r="P78" s="12">
        <v>5318811</v>
      </c>
      <c r="Q78" t="str">
        <f t="shared" si="18"/>
        <v>Very High</v>
      </c>
    </row>
    <row r="79" spans="1:17" ht="12.5" x14ac:dyDescent="0.25">
      <c r="A79" s="9" t="s">
        <v>96</v>
      </c>
      <c r="B79" s="9" t="s">
        <v>10</v>
      </c>
      <c r="C79" s="9" t="s">
        <v>11</v>
      </c>
      <c r="D79" s="10">
        <v>41840</v>
      </c>
      <c r="E79" s="10" t="str">
        <f t="shared" si="11"/>
        <v>2014</v>
      </c>
      <c r="F79" s="10" t="str">
        <f t="shared" si="12"/>
        <v>Jul</v>
      </c>
      <c r="G79" s="10" t="str">
        <f t="shared" si="13"/>
        <v>Q3</v>
      </c>
      <c r="H79" s="11">
        <f t="shared" ca="1" si="10"/>
        <v>11</v>
      </c>
      <c r="I79" t="str">
        <f t="shared" ca="1" si="14"/>
        <v>Senior</v>
      </c>
      <c r="J79">
        <v>1</v>
      </c>
      <c r="K79" s="11">
        <v>2</v>
      </c>
      <c r="L79" s="11" t="str">
        <f t="shared" si="15"/>
        <v>Fair Performer</v>
      </c>
      <c r="M79" s="11">
        <v>19</v>
      </c>
      <c r="N79" s="11" t="str">
        <f t="shared" si="16"/>
        <v>Young Talent</v>
      </c>
      <c r="O79" s="11">
        <f t="shared" si="17"/>
        <v>41</v>
      </c>
      <c r="P79" s="12">
        <v>5712841</v>
      </c>
      <c r="Q79" t="str">
        <f t="shared" si="18"/>
        <v>Very High</v>
      </c>
    </row>
    <row r="80" spans="1:17" ht="12.5" x14ac:dyDescent="0.25">
      <c r="A80" s="9" t="s">
        <v>97</v>
      </c>
      <c r="B80" s="9" t="s">
        <v>20</v>
      </c>
      <c r="C80" s="9" t="s">
        <v>21</v>
      </c>
      <c r="D80" s="10">
        <v>43783</v>
      </c>
      <c r="E80" s="10" t="str">
        <f t="shared" si="11"/>
        <v>2019</v>
      </c>
      <c r="F80" s="10" t="str">
        <f t="shared" si="12"/>
        <v>Nov</v>
      </c>
      <c r="G80" s="10" t="str">
        <f t="shared" si="13"/>
        <v>Q4</v>
      </c>
      <c r="H80" s="11">
        <f t="shared" ca="1" si="10"/>
        <v>6</v>
      </c>
      <c r="I80" t="str">
        <f t="shared" ca="1" si="14"/>
        <v>Established</v>
      </c>
      <c r="J80">
        <v>6</v>
      </c>
      <c r="K80" s="11">
        <v>1</v>
      </c>
      <c r="L80" s="11" t="str">
        <f t="shared" si="15"/>
        <v>Poor Performer</v>
      </c>
      <c r="M80" s="11">
        <v>54</v>
      </c>
      <c r="N80" s="11" t="str">
        <f t="shared" si="16"/>
        <v>Senior Professional</v>
      </c>
      <c r="O80" s="11">
        <f t="shared" si="17"/>
        <v>6</v>
      </c>
      <c r="P80" s="12">
        <v>2109732</v>
      </c>
      <c r="Q80" t="str">
        <f t="shared" si="18"/>
        <v>Medium</v>
      </c>
    </row>
    <row r="81" spans="1:17" ht="12.5" x14ac:dyDescent="0.25">
      <c r="A81" s="9" t="s">
        <v>98</v>
      </c>
      <c r="B81" s="9" t="s">
        <v>36</v>
      </c>
      <c r="C81" s="9" t="s">
        <v>37</v>
      </c>
      <c r="D81" s="10">
        <v>42022</v>
      </c>
      <c r="E81" s="10" t="str">
        <f t="shared" si="11"/>
        <v>2015</v>
      </c>
      <c r="F81" s="10" t="str">
        <f t="shared" si="12"/>
        <v>Jan</v>
      </c>
      <c r="G81" s="10" t="str">
        <f t="shared" si="13"/>
        <v>Q1</v>
      </c>
      <c r="H81" s="11">
        <f t="shared" ca="1" si="10"/>
        <v>10</v>
      </c>
      <c r="I81" t="str">
        <f t="shared" ca="1" si="14"/>
        <v>Senior</v>
      </c>
      <c r="J81">
        <v>1</v>
      </c>
      <c r="K81" s="11">
        <v>5</v>
      </c>
      <c r="L81" s="11" t="str">
        <f t="shared" si="15"/>
        <v>Excellent Performer</v>
      </c>
      <c r="M81" s="11">
        <v>24</v>
      </c>
      <c r="N81" s="11" t="str">
        <f t="shared" si="16"/>
        <v>Young Talent</v>
      </c>
      <c r="O81" s="11">
        <f t="shared" si="17"/>
        <v>36</v>
      </c>
      <c r="P81" s="12">
        <v>1937595</v>
      </c>
      <c r="Q81" t="str">
        <f t="shared" si="18"/>
        <v>Medium</v>
      </c>
    </row>
    <row r="82" spans="1:17" ht="12.5" x14ac:dyDescent="0.25">
      <c r="A82" s="9" t="s">
        <v>99</v>
      </c>
      <c r="B82" s="9" t="s">
        <v>13</v>
      </c>
      <c r="C82" s="9" t="s">
        <v>14</v>
      </c>
      <c r="D82" s="10">
        <v>40080</v>
      </c>
      <c r="E82" s="10" t="str">
        <f t="shared" si="11"/>
        <v>2009</v>
      </c>
      <c r="F82" s="10" t="str">
        <f t="shared" si="12"/>
        <v>Sep</v>
      </c>
      <c r="G82" s="10" t="str">
        <f t="shared" si="13"/>
        <v>Q3</v>
      </c>
      <c r="H82" s="11">
        <f t="shared" ca="1" si="10"/>
        <v>16</v>
      </c>
      <c r="I82" t="str">
        <f t="shared" ca="1" si="14"/>
        <v>Senior</v>
      </c>
      <c r="J82">
        <v>5</v>
      </c>
      <c r="K82" s="11">
        <v>1</v>
      </c>
      <c r="L82" s="11" t="str">
        <f t="shared" si="15"/>
        <v>Poor Performer</v>
      </c>
      <c r="M82" s="11">
        <v>35</v>
      </c>
      <c r="N82" s="11" t="str">
        <f t="shared" si="16"/>
        <v>Established Professional</v>
      </c>
      <c r="O82" s="11">
        <f t="shared" si="17"/>
        <v>25</v>
      </c>
      <c r="P82" s="12">
        <v>1448823</v>
      </c>
      <c r="Q82" t="str">
        <f t="shared" si="18"/>
        <v>Low</v>
      </c>
    </row>
    <row r="83" spans="1:17" ht="12.5" x14ac:dyDescent="0.25">
      <c r="A83" s="9" t="s">
        <v>100</v>
      </c>
      <c r="B83" s="9" t="s">
        <v>13</v>
      </c>
      <c r="C83" s="9" t="s">
        <v>14</v>
      </c>
      <c r="D83" s="10">
        <v>44085</v>
      </c>
      <c r="E83" s="10" t="str">
        <f t="shared" si="11"/>
        <v>2020</v>
      </c>
      <c r="F83" s="10" t="str">
        <f t="shared" si="12"/>
        <v>Sep</v>
      </c>
      <c r="G83" s="10" t="str">
        <f t="shared" si="13"/>
        <v>Q3</v>
      </c>
      <c r="H83" s="11">
        <f t="shared" ca="1" si="10"/>
        <v>5</v>
      </c>
      <c r="I83" t="str">
        <f t="shared" ca="1" si="14"/>
        <v>Established</v>
      </c>
      <c r="J83">
        <v>3</v>
      </c>
      <c r="K83" s="11">
        <v>2</v>
      </c>
      <c r="L83" s="11" t="str">
        <f t="shared" si="15"/>
        <v>Fair Performer</v>
      </c>
      <c r="M83" s="11">
        <v>44</v>
      </c>
      <c r="N83" s="11" t="str">
        <f t="shared" si="16"/>
        <v>Established Professional</v>
      </c>
      <c r="O83" s="11">
        <f t="shared" si="17"/>
        <v>16</v>
      </c>
      <c r="P83" s="12">
        <v>3844118</v>
      </c>
      <c r="Q83" t="str">
        <f t="shared" si="18"/>
        <v>High</v>
      </c>
    </row>
    <row r="84" spans="1:17" ht="12.5" x14ac:dyDescent="0.25">
      <c r="A84" s="9" t="s">
        <v>101</v>
      </c>
      <c r="B84" s="9" t="s">
        <v>4</v>
      </c>
      <c r="C84" s="9" t="s">
        <v>5</v>
      </c>
      <c r="D84" s="10">
        <v>39630</v>
      </c>
      <c r="E84" s="10" t="str">
        <f t="shared" si="11"/>
        <v>2008</v>
      </c>
      <c r="F84" s="10" t="str">
        <f t="shared" si="12"/>
        <v>Jul</v>
      </c>
      <c r="G84" s="10" t="str">
        <f t="shared" si="13"/>
        <v>Q3</v>
      </c>
      <c r="H84" s="11">
        <f t="shared" ca="1" si="10"/>
        <v>17</v>
      </c>
      <c r="I84" t="str">
        <f t="shared" ca="1" si="14"/>
        <v>Senior</v>
      </c>
      <c r="J84">
        <v>2</v>
      </c>
      <c r="K84" s="11">
        <v>4</v>
      </c>
      <c r="L84" s="11" t="str">
        <f t="shared" si="15"/>
        <v>Good Performer</v>
      </c>
      <c r="M84" s="11">
        <v>20</v>
      </c>
      <c r="N84" s="11" t="str">
        <f t="shared" si="16"/>
        <v>Young Talent</v>
      </c>
      <c r="O84" s="11">
        <f t="shared" si="17"/>
        <v>40</v>
      </c>
      <c r="P84" s="12">
        <v>367602</v>
      </c>
      <c r="Q84" t="str">
        <f t="shared" si="18"/>
        <v>Low</v>
      </c>
    </row>
    <row r="85" spans="1:17" ht="12.5" x14ac:dyDescent="0.25">
      <c r="A85" s="9" t="s">
        <v>102</v>
      </c>
      <c r="B85" s="9" t="s">
        <v>16</v>
      </c>
      <c r="C85" s="9" t="s">
        <v>17</v>
      </c>
      <c r="D85" s="10">
        <v>38219</v>
      </c>
      <c r="E85" s="10" t="str">
        <f t="shared" si="11"/>
        <v>2004</v>
      </c>
      <c r="F85" s="10" t="str">
        <f t="shared" si="12"/>
        <v>Aug</v>
      </c>
      <c r="G85" s="10" t="str">
        <f t="shared" si="13"/>
        <v>Q3</v>
      </c>
      <c r="H85" s="11">
        <f t="shared" ca="1" si="10"/>
        <v>21</v>
      </c>
      <c r="I85" t="str">
        <f t="shared" ca="1" si="14"/>
        <v>Senior</v>
      </c>
      <c r="J85">
        <v>5</v>
      </c>
      <c r="K85" s="11">
        <v>3</v>
      </c>
      <c r="L85" s="11" t="str">
        <f t="shared" si="15"/>
        <v>Average Performer</v>
      </c>
      <c r="M85" s="11">
        <v>24</v>
      </c>
      <c r="N85" s="11" t="str">
        <f t="shared" si="16"/>
        <v>Young Talent</v>
      </c>
      <c r="O85" s="11">
        <f t="shared" si="17"/>
        <v>36</v>
      </c>
      <c r="P85" s="12">
        <v>2807836</v>
      </c>
      <c r="Q85" t="str">
        <f t="shared" si="18"/>
        <v>Medium</v>
      </c>
    </row>
    <row r="86" spans="1:17" ht="12.5" x14ac:dyDescent="0.25">
      <c r="A86" s="9" t="s">
        <v>103</v>
      </c>
      <c r="B86" s="9" t="s">
        <v>10</v>
      </c>
      <c r="C86" s="9" t="s">
        <v>11</v>
      </c>
      <c r="D86" s="10">
        <v>39362</v>
      </c>
      <c r="E86" s="10" t="str">
        <f t="shared" si="11"/>
        <v>2007</v>
      </c>
      <c r="F86" s="10" t="str">
        <f t="shared" si="12"/>
        <v>Oct</v>
      </c>
      <c r="G86" s="10" t="str">
        <f t="shared" si="13"/>
        <v>Q4</v>
      </c>
      <c r="H86" s="11">
        <f t="shared" ca="1" si="10"/>
        <v>18</v>
      </c>
      <c r="I86" t="str">
        <f t="shared" ca="1" si="14"/>
        <v>Senior</v>
      </c>
      <c r="J86">
        <v>6</v>
      </c>
      <c r="K86" s="11">
        <v>5</v>
      </c>
      <c r="L86" s="11" t="str">
        <f t="shared" si="15"/>
        <v>Excellent Performer</v>
      </c>
      <c r="M86" s="11">
        <v>38</v>
      </c>
      <c r="N86" s="11" t="str">
        <f t="shared" si="16"/>
        <v>Established Professional</v>
      </c>
      <c r="O86" s="11">
        <f t="shared" si="17"/>
        <v>22</v>
      </c>
      <c r="P86" s="12">
        <v>1465067</v>
      </c>
      <c r="Q86" t="str">
        <f t="shared" si="18"/>
        <v>Low</v>
      </c>
    </row>
    <row r="87" spans="1:17" ht="12.5" x14ac:dyDescent="0.25">
      <c r="A87" s="9" t="s">
        <v>104</v>
      </c>
      <c r="B87" s="9" t="s">
        <v>20</v>
      </c>
      <c r="C87" s="9" t="s">
        <v>21</v>
      </c>
      <c r="D87" s="10">
        <v>42634</v>
      </c>
      <c r="E87" s="10" t="str">
        <f t="shared" si="11"/>
        <v>2016</v>
      </c>
      <c r="F87" s="10" t="str">
        <f t="shared" si="12"/>
        <v>Sep</v>
      </c>
      <c r="G87" s="10" t="str">
        <f t="shared" si="13"/>
        <v>Q3</v>
      </c>
      <c r="H87" s="11">
        <f t="shared" ca="1" si="10"/>
        <v>9</v>
      </c>
      <c r="I87" t="str">
        <f t="shared" ca="1" si="14"/>
        <v>Established</v>
      </c>
      <c r="J87">
        <v>2</v>
      </c>
      <c r="K87" s="11">
        <v>3</v>
      </c>
      <c r="L87" s="11" t="str">
        <f t="shared" si="15"/>
        <v>Average Performer</v>
      </c>
      <c r="M87" s="11">
        <v>53</v>
      </c>
      <c r="N87" s="11" t="str">
        <f t="shared" si="16"/>
        <v>Senior Professional</v>
      </c>
      <c r="O87" s="11">
        <f t="shared" si="17"/>
        <v>7</v>
      </c>
      <c r="P87" s="12">
        <v>5352081</v>
      </c>
      <c r="Q87" t="str">
        <f t="shared" si="18"/>
        <v>Very High</v>
      </c>
    </row>
    <row r="88" spans="1:17" ht="12.5" x14ac:dyDescent="0.25">
      <c r="A88" s="9" t="s">
        <v>105</v>
      </c>
      <c r="B88" s="9" t="s">
        <v>10</v>
      </c>
      <c r="C88" s="9" t="s">
        <v>11</v>
      </c>
      <c r="D88" s="10">
        <v>38457</v>
      </c>
      <c r="E88" s="10" t="str">
        <f t="shared" si="11"/>
        <v>2005</v>
      </c>
      <c r="F88" s="10" t="str">
        <f t="shared" si="12"/>
        <v>Apr</v>
      </c>
      <c r="G88" s="10" t="str">
        <f t="shared" si="13"/>
        <v>Q2</v>
      </c>
      <c r="H88" s="11">
        <f t="shared" ca="1" si="10"/>
        <v>20</v>
      </c>
      <c r="I88" t="str">
        <f t="shared" ca="1" si="14"/>
        <v>Senior</v>
      </c>
      <c r="J88">
        <v>5</v>
      </c>
      <c r="K88" s="11">
        <v>4</v>
      </c>
      <c r="L88" s="11" t="str">
        <f t="shared" si="15"/>
        <v>Good Performer</v>
      </c>
      <c r="M88" s="11">
        <v>32</v>
      </c>
      <c r="N88" s="11" t="str">
        <f t="shared" si="16"/>
        <v>Emerging Professional</v>
      </c>
      <c r="O88" s="11">
        <f t="shared" si="17"/>
        <v>28</v>
      </c>
      <c r="P88" s="12">
        <v>4543816</v>
      </c>
      <c r="Q88" t="str">
        <f t="shared" si="18"/>
        <v>Very High</v>
      </c>
    </row>
    <row r="89" spans="1:17" ht="12.5" x14ac:dyDescent="0.25">
      <c r="A89" s="9" t="s">
        <v>106</v>
      </c>
      <c r="B89" s="9" t="s">
        <v>36</v>
      </c>
      <c r="C89" s="9" t="s">
        <v>37</v>
      </c>
      <c r="D89" s="10">
        <v>44274</v>
      </c>
      <c r="E89" s="10" t="str">
        <f t="shared" si="11"/>
        <v>2021</v>
      </c>
      <c r="F89" s="10" t="str">
        <f t="shared" si="12"/>
        <v>Mar</v>
      </c>
      <c r="G89" s="10" t="str">
        <f t="shared" si="13"/>
        <v>Q1</v>
      </c>
      <c r="H89" s="11">
        <f t="shared" ca="1" si="10"/>
        <v>4</v>
      </c>
      <c r="I89" t="str">
        <f t="shared" ca="1" si="14"/>
        <v>Junior</v>
      </c>
      <c r="J89">
        <v>7</v>
      </c>
      <c r="K89" s="11">
        <v>5</v>
      </c>
      <c r="L89" s="11" t="str">
        <f t="shared" si="15"/>
        <v>Excellent Performer</v>
      </c>
      <c r="M89" s="11">
        <v>36</v>
      </c>
      <c r="N89" s="11" t="str">
        <f t="shared" si="16"/>
        <v>Established Professional</v>
      </c>
      <c r="O89" s="11">
        <f t="shared" si="17"/>
        <v>24</v>
      </c>
      <c r="P89" s="12">
        <v>5557832</v>
      </c>
      <c r="Q89" t="str">
        <f t="shared" si="18"/>
        <v>Very High</v>
      </c>
    </row>
    <row r="90" spans="1:17" ht="12.5" x14ac:dyDescent="0.25">
      <c r="A90" s="9" t="s">
        <v>107</v>
      </c>
      <c r="B90" s="9" t="s">
        <v>20</v>
      </c>
      <c r="C90" s="9" t="s">
        <v>21</v>
      </c>
      <c r="D90" s="10">
        <v>43414</v>
      </c>
      <c r="E90" s="10" t="str">
        <f t="shared" si="11"/>
        <v>2018</v>
      </c>
      <c r="F90" s="10" t="str">
        <f t="shared" si="12"/>
        <v>Nov</v>
      </c>
      <c r="G90" s="10" t="str">
        <f t="shared" si="13"/>
        <v>Q4</v>
      </c>
      <c r="H90" s="11">
        <f t="shared" ca="1" si="10"/>
        <v>7</v>
      </c>
      <c r="I90" t="str">
        <f t="shared" ca="1" si="14"/>
        <v>Established</v>
      </c>
      <c r="J90">
        <v>1</v>
      </c>
      <c r="K90" s="11">
        <v>1</v>
      </c>
      <c r="L90" s="11" t="str">
        <f t="shared" si="15"/>
        <v>Poor Performer</v>
      </c>
      <c r="M90" s="11">
        <v>41</v>
      </c>
      <c r="N90" s="11" t="str">
        <f t="shared" si="16"/>
        <v>Established Professional</v>
      </c>
      <c r="O90" s="11">
        <f t="shared" si="17"/>
        <v>19</v>
      </c>
      <c r="P90" s="12">
        <v>4868705</v>
      </c>
      <c r="Q90" t="str">
        <f t="shared" si="18"/>
        <v>Very High</v>
      </c>
    </row>
    <row r="91" spans="1:17" ht="12.5" x14ac:dyDescent="0.25">
      <c r="A91" s="9" t="s">
        <v>108</v>
      </c>
      <c r="B91" s="9" t="s">
        <v>13</v>
      </c>
      <c r="C91" s="9" t="s">
        <v>14</v>
      </c>
      <c r="D91" s="10">
        <v>39228</v>
      </c>
      <c r="E91" s="10" t="str">
        <f t="shared" si="11"/>
        <v>2007</v>
      </c>
      <c r="F91" s="10" t="str">
        <f t="shared" si="12"/>
        <v>May</v>
      </c>
      <c r="G91" s="10" t="str">
        <f t="shared" si="13"/>
        <v>Q2</v>
      </c>
      <c r="H91" s="11">
        <f t="shared" ca="1" si="10"/>
        <v>18</v>
      </c>
      <c r="I91" t="str">
        <f t="shared" ca="1" si="14"/>
        <v>Senior</v>
      </c>
      <c r="J91">
        <v>4</v>
      </c>
      <c r="K91" s="11">
        <v>3</v>
      </c>
      <c r="L91" s="11" t="str">
        <f t="shared" si="15"/>
        <v>Average Performer</v>
      </c>
      <c r="M91" s="11">
        <v>49</v>
      </c>
      <c r="N91" s="11" t="str">
        <f t="shared" si="16"/>
        <v>Senior Professional</v>
      </c>
      <c r="O91" s="11">
        <f t="shared" si="17"/>
        <v>11</v>
      </c>
      <c r="P91" s="12">
        <v>3266970</v>
      </c>
      <c r="Q91" t="str">
        <f t="shared" si="18"/>
        <v>High</v>
      </c>
    </row>
    <row r="92" spans="1:17" ht="12.5" x14ac:dyDescent="0.25">
      <c r="A92" s="9" t="s">
        <v>109</v>
      </c>
      <c r="B92" s="9" t="s">
        <v>13</v>
      </c>
      <c r="C92" s="9" t="s">
        <v>14</v>
      </c>
      <c r="D92" s="10">
        <v>41960</v>
      </c>
      <c r="E92" s="10" t="str">
        <f t="shared" si="11"/>
        <v>2014</v>
      </c>
      <c r="F92" s="10" t="str">
        <f t="shared" si="12"/>
        <v>Nov</v>
      </c>
      <c r="G92" s="10" t="str">
        <f t="shared" si="13"/>
        <v>Q4</v>
      </c>
      <c r="H92" s="11">
        <f t="shared" ca="1" si="10"/>
        <v>11</v>
      </c>
      <c r="I92" t="str">
        <f t="shared" ca="1" si="14"/>
        <v>Senior</v>
      </c>
      <c r="J92">
        <v>2</v>
      </c>
      <c r="K92" s="11">
        <v>3</v>
      </c>
      <c r="L92" s="11" t="str">
        <f t="shared" si="15"/>
        <v>Average Performer</v>
      </c>
      <c r="M92" s="11">
        <v>25</v>
      </c>
      <c r="N92" s="11" t="str">
        <f t="shared" si="16"/>
        <v>Emerging Professional</v>
      </c>
      <c r="O92" s="11">
        <f t="shared" si="17"/>
        <v>35</v>
      </c>
      <c r="P92" s="12">
        <v>1454562</v>
      </c>
      <c r="Q92" t="str">
        <f t="shared" si="18"/>
        <v>Low</v>
      </c>
    </row>
    <row r="93" spans="1:17" ht="12.5" x14ac:dyDescent="0.25">
      <c r="A93" s="9" t="s">
        <v>110</v>
      </c>
      <c r="B93" s="9" t="s">
        <v>16</v>
      </c>
      <c r="C93" s="9" t="s">
        <v>17</v>
      </c>
      <c r="D93" s="10">
        <v>40567</v>
      </c>
      <c r="E93" s="10" t="str">
        <f t="shared" si="11"/>
        <v>2011</v>
      </c>
      <c r="F93" s="10" t="str">
        <f t="shared" si="12"/>
        <v>Jan</v>
      </c>
      <c r="G93" s="10" t="str">
        <f t="shared" si="13"/>
        <v>Q1</v>
      </c>
      <c r="H93" s="11">
        <f t="shared" ca="1" si="10"/>
        <v>14</v>
      </c>
      <c r="I93" t="str">
        <f t="shared" ca="1" si="14"/>
        <v>Senior</v>
      </c>
      <c r="J93">
        <v>7</v>
      </c>
      <c r="K93" s="11">
        <v>4</v>
      </c>
      <c r="L93" s="11" t="str">
        <f t="shared" si="15"/>
        <v>Good Performer</v>
      </c>
      <c r="M93" s="11">
        <v>42</v>
      </c>
      <c r="N93" s="11" t="str">
        <f t="shared" si="16"/>
        <v>Established Professional</v>
      </c>
      <c r="O93" s="11">
        <f t="shared" si="17"/>
        <v>18</v>
      </c>
      <c r="P93" s="12">
        <v>1992069</v>
      </c>
      <c r="Q93" t="str">
        <f t="shared" si="18"/>
        <v>Medium</v>
      </c>
    </row>
    <row r="94" spans="1:17" ht="12.5" x14ac:dyDescent="0.25">
      <c r="A94" s="9" t="s">
        <v>111</v>
      </c>
      <c r="B94" s="9" t="s">
        <v>16</v>
      </c>
      <c r="C94" s="9" t="s">
        <v>17</v>
      </c>
      <c r="D94" s="10">
        <v>42494</v>
      </c>
      <c r="E94" s="10" t="str">
        <f t="shared" si="11"/>
        <v>2016</v>
      </c>
      <c r="F94" s="10" t="str">
        <f t="shared" si="12"/>
        <v>May</v>
      </c>
      <c r="G94" s="10" t="str">
        <f t="shared" si="13"/>
        <v>Q2</v>
      </c>
      <c r="H94" s="11">
        <f t="shared" ca="1" si="10"/>
        <v>9</v>
      </c>
      <c r="I94" t="str">
        <f t="shared" ca="1" si="14"/>
        <v>Established</v>
      </c>
      <c r="J94">
        <v>4</v>
      </c>
      <c r="K94" s="11">
        <v>3</v>
      </c>
      <c r="L94" s="11" t="str">
        <f t="shared" si="15"/>
        <v>Average Performer</v>
      </c>
      <c r="M94" s="11">
        <v>38</v>
      </c>
      <c r="N94" s="11" t="str">
        <f t="shared" si="16"/>
        <v>Established Professional</v>
      </c>
      <c r="O94" s="11">
        <f t="shared" si="17"/>
        <v>22</v>
      </c>
      <c r="P94" s="12">
        <v>1119396</v>
      </c>
      <c r="Q94" t="str">
        <f t="shared" si="18"/>
        <v>Low</v>
      </c>
    </row>
    <row r="95" spans="1:17" ht="12.5" x14ac:dyDescent="0.25">
      <c r="A95" s="9" t="s">
        <v>112</v>
      </c>
      <c r="B95" s="9" t="s">
        <v>36</v>
      </c>
      <c r="C95" s="9" t="s">
        <v>37</v>
      </c>
      <c r="D95" s="10">
        <v>40294</v>
      </c>
      <c r="E95" s="10" t="str">
        <f t="shared" si="11"/>
        <v>2010</v>
      </c>
      <c r="F95" s="10" t="str">
        <f t="shared" si="12"/>
        <v>Apr</v>
      </c>
      <c r="G95" s="10" t="str">
        <f t="shared" si="13"/>
        <v>Q2</v>
      </c>
      <c r="H95" s="11">
        <f t="shared" ca="1" si="10"/>
        <v>15</v>
      </c>
      <c r="I95" t="str">
        <f t="shared" ca="1" si="14"/>
        <v>Senior</v>
      </c>
      <c r="J95">
        <v>1</v>
      </c>
      <c r="K95" s="11">
        <v>3</v>
      </c>
      <c r="L95" s="11" t="str">
        <f t="shared" si="15"/>
        <v>Average Performer</v>
      </c>
      <c r="M95" s="11">
        <v>25</v>
      </c>
      <c r="N95" s="11" t="str">
        <f t="shared" si="16"/>
        <v>Emerging Professional</v>
      </c>
      <c r="O95" s="11">
        <f t="shared" si="17"/>
        <v>35</v>
      </c>
      <c r="P95" s="12">
        <v>1867068</v>
      </c>
      <c r="Q95" t="str">
        <f t="shared" si="18"/>
        <v>Low</v>
      </c>
    </row>
    <row r="96" spans="1:17" ht="12.5" x14ac:dyDescent="0.25">
      <c r="A96" s="9" t="s">
        <v>113</v>
      </c>
      <c r="B96" s="9" t="s">
        <v>49</v>
      </c>
      <c r="C96" s="9" t="s">
        <v>50</v>
      </c>
      <c r="D96" s="10">
        <v>38756</v>
      </c>
      <c r="E96" s="10" t="str">
        <f t="shared" si="11"/>
        <v>2006</v>
      </c>
      <c r="F96" s="10" t="str">
        <f t="shared" si="12"/>
        <v>Feb</v>
      </c>
      <c r="G96" s="10" t="str">
        <f t="shared" si="13"/>
        <v>Q1</v>
      </c>
      <c r="H96" s="11">
        <f t="shared" ca="1" si="10"/>
        <v>19</v>
      </c>
      <c r="I96" t="str">
        <f t="shared" ca="1" si="14"/>
        <v>Senior</v>
      </c>
      <c r="J96">
        <v>4</v>
      </c>
      <c r="K96" s="11">
        <v>4</v>
      </c>
      <c r="L96" s="11" t="str">
        <f t="shared" si="15"/>
        <v>Good Performer</v>
      </c>
      <c r="M96" s="11">
        <v>21</v>
      </c>
      <c r="N96" s="11" t="str">
        <f t="shared" si="16"/>
        <v>Young Talent</v>
      </c>
      <c r="O96" s="11">
        <f t="shared" si="17"/>
        <v>39</v>
      </c>
      <c r="P96" s="12">
        <v>931467</v>
      </c>
      <c r="Q96" t="str">
        <f t="shared" si="18"/>
        <v>Low</v>
      </c>
    </row>
    <row r="97" spans="1:17" ht="12.5" x14ac:dyDescent="0.25">
      <c r="A97" s="9" t="s">
        <v>114</v>
      </c>
      <c r="B97" s="9" t="s">
        <v>20</v>
      </c>
      <c r="C97" s="9" t="s">
        <v>21</v>
      </c>
      <c r="D97" s="10">
        <v>43116</v>
      </c>
      <c r="E97" s="10" t="str">
        <f t="shared" si="11"/>
        <v>2018</v>
      </c>
      <c r="F97" s="10" t="str">
        <f t="shared" si="12"/>
        <v>Jan</v>
      </c>
      <c r="G97" s="10" t="str">
        <f t="shared" si="13"/>
        <v>Q1</v>
      </c>
      <c r="H97" s="11">
        <f t="shared" ca="1" si="10"/>
        <v>7</v>
      </c>
      <c r="I97" t="str">
        <f t="shared" ca="1" si="14"/>
        <v>Established</v>
      </c>
      <c r="J97">
        <v>2</v>
      </c>
      <c r="K97" s="11">
        <v>5</v>
      </c>
      <c r="L97" s="11" t="str">
        <f t="shared" si="15"/>
        <v>Excellent Performer</v>
      </c>
      <c r="M97" s="11">
        <v>46</v>
      </c>
      <c r="N97" s="11" t="str">
        <f t="shared" si="16"/>
        <v>Senior Professional</v>
      </c>
      <c r="O97" s="11">
        <f t="shared" si="17"/>
        <v>14</v>
      </c>
      <c r="P97" s="12">
        <v>3413067</v>
      </c>
      <c r="Q97" t="str">
        <f t="shared" si="18"/>
        <v>High</v>
      </c>
    </row>
    <row r="98" spans="1:17" ht="12.5" x14ac:dyDescent="0.25">
      <c r="A98" s="9" t="s">
        <v>115</v>
      </c>
      <c r="B98" s="9" t="s">
        <v>49</v>
      </c>
      <c r="C98" s="9" t="s">
        <v>50</v>
      </c>
      <c r="D98" s="10">
        <v>39612</v>
      </c>
      <c r="E98" s="10" t="str">
        <f t="shared" si="11"/>
        <v>2008</v>
      </c>
      <c r="F98" s="10" t="str">
        <f t="shared" si="12"/>
        <v>Jun</v>
      </c>
      <c r="G98" s="10" t="str">
        <f t="shared" si="13"/>
        <v>Q2</v>
      </c>
      <c r="H98" s="11">
        <f t="shared" ca="1" si="10"/>
        <v>17</v>
      </c>
      <c r="I98" t="str">
        <f t="shared" ca="1" si="14"/>
        <v>Senior</v>
      </c>
      <c r="J98">
        <v>1</v>
      </c>
      <c r="K98" s="11">
        <v>5</v>
      </c>
      <c r="L98" s="11" t="str">
        <f t="shared" si="15"/>
        <v>Excellent Performer</v>
      </c>
      <c r="M98" s="11">
        <v>34</v>
      </c>
      <c r="N98" s="11" t="str">
        <f t="shared" si="16"/>
        <v>Emerging Professional</v>
      </c>
      <c r="O98" s="11">
        <f t="shared" si="17"/>
        <v>26</v>
      </c>
      <c r="P98" s="12">
        <v>3597976</v>
      </c>
      <c r="Q98" t="str">
        <f t="shared" si="18"/>
        <v>High</v>
      </c>
    </row>
    <row r="99" spans="1:17" ht="12.5" x14ac:dyDescent="0.25">
      <c r="A99" s="9" t="s">
        <v>116</v>
      </c>
      <c r="B99" s="9" t="s">
        <v>36</v>
      </c>
      <c r="C99" s="9" t="s">
        <v>37</v>
      </c>
      <c r="D99" s="10">
        <v>45176</v>
      </c>
      <c r="E99" s="10" t="str">
        <f t="shared" si="11"/>
        <v>2023</v>
      </c>
      <c r="F99" s="10" t="str">
        <f t="shared" si="12"/>
        <v>Sep</v>
      </c>
      <c r="G99" s="10" t="str">
        <f t="shared" si="13"/>
        <v>Q3</v>
      </c>
      <c r="H99" s="11">
        <f t="shared" ca="1" si="10"/>
        <v>2</v>
      </c>
      <c r="I99" t="str">
        <f t="shared" ca="1" si="14"/>
        <v>Junior</v>
      </c>
      <c r="J99">
        <v>6</v>
      </c>
      <c r="K99" s="11">
        <v>5</v>
      </c>
      <c r="L99" s="11" t="str">
        <f t="shared" si="15"/>
        <v>Excellent Performer</v>
      </c>
      <c r="M99" s="11">
        <v>35</v>
      </c>
      <c r="N99" s="11" t="str">
        <f t="shared" si="16"/>
        <v>Established Professional</v>
      </c>
      <c r="O99" s="11">
        <f t="shared" si="17"/>
        <v>25</v>
      </c>
      <c r="P99" s="12">
        <v>805080</v>
      </c>
      <c r="Q99" t="str">
        <f t="shared" si="18"/>
        <v>Low</v>
      </c>
    </row>
    <row r="100" spans="1:17" ht="12.5" x14ac:dyDescent="0.25">
      <c r="A100" s="9" t="s">
        <v>117</v>
      </c>
      <c r="B100" s="9" t="s">
        <v>10</v>
      </c>
      <c r="C100" s="9" t="s">
        <v>11</v>
      </c>
      <c r="D100" s="10">
        <v>38523</v>
      </c>
      <c r="E100" s="10" t="str">
        <f t="shared" si="11"/>
        <v>2005</v>
      </c>
      <c r="F100" s="10" t="str">
        <f t="shared" si="12"/>
        <v>Jun</v>
      </c>
      <c r="G100" s="10" t="str">
        <f t="shared" si="13"/>
        <v>Q2</v>
      </c>
      <c r="H100" s="11">
        <f t="shared" ca="1" si="10"/>
        <v>20</v>
      </c>
      <c r="I100" t="str">
        <f t="shared" ca="1" si="14"/>
        <v>Senior</v>
      </c>
      <c r="J100">
        <v>2</v>
      </c>
      <c r="K100" s="11">
        <v>4</v>
      </c>
      <c r="L100" s="11" t="str">
        <f t="shared" si="15"/>
        <v>Good Performer</v>
      </c>
      <c r="M100" s="11">
        <v>45</v>
      </c>
      <c r="N100" s="11" t="str">
        <f t="shared" si="16"/>
        <v>Senior Professional</v>
      </c>
      <c r="O100" s="11">
        <f t="shared" si="17"/>
        <v>15</v>
      </c>
      <c r="P100" s="12">
        <v>2302157</v>
      </c>
      <c r="Q100" t="str">
        <f t="shared" si="18"/>
        <v>Medium</v>
      </c>
    </row>
    <row r="101" spans="1:17" ht="12.5" x14ac:dyDescent="0.25">
      <c r="A101" s="9" t="s">
        <v>118</v>
      </c>
      <c r="B101" s="9" t="s">
        <v>7</v>
      </c>
      <c r="C101" s="9" t="s">
        <v>8</v>
      </c>
      <c r="D101" s="10">
        <v>40848</v>
      </c>
      <c r="E101" s="10" t="str">
        <f t="shared" si="11"/>
        <v>2011</v>
      </c>
      <c r="F101" s="10" t="str">
        <f t="shared" si="12"/>
        <v>Nov</v>
      </c>
      <c r="G101" s="10" t="str">
        <f t="shared" si="13"/>
        <v>Q4</v>
      </c>
      <c r="H101" s="11">
        <f t="shared" ca="1" si="10"/>
        <v>14</v>
      </c>
      <c r="I101" t="str">
        <f t="shared" ca="1" si="14"/>
        <v>Senior</v>
      </c>
      <c r="J101">
        <v>7</v>
      </c>
      <c r="K101" s="11">
        <v>2</v>
      </c>
      <c r="L101" s="11" t="str">
        <f t="shared" si="15"/>
        <v>Fair Performer</v>
      </c>
      <c r="M101" s="11">
        <v>55</v>
      </c>
      <c r="N101" s="11" t="str">
        <f t="shared" si="16"/>
        <v>Senior Professional</v>
      </c>
      <c r="O101" s="11">
        <f t="shared" si="17"/>
        <v>5</v>
      </c>
      <c r="P101" s="12">
        <v>5051951</v>
      </c>
      <c r="Q101" t="str">
        <f t="shared" si="18"/>
        <v>Very High</v>
      </c>
    </row>
    <row r="102" spans="1:17" ht="12.5" x14ac:dyDescent="0.25">
      <c r="A102" s="9" t="s">
        <v>119</v>
      </c>
      <c r="B102" s="9" t="s">
        <v>16</v>
      </c>
      <c r="C102" s="9" t="s">
        <v>17</v>
      </c>
      <c r="D102" s="10">
        <v>38744</v>
      </c>
      <c r="E102" s="10" t="str">
        <f t="shared" si="11"/>
        <v>2006</v>
      </c>
      <c r="F102" s="10" t="str">
        <f t="shared" si="12"/>
        <v>Jan</v>
      </c>
      <c r="G102" s="10" t="str">
        <f t="shared" si="13"/>
        <v>Q1</v>
      </c>
      <c r="H102" s="11">
        <f t="shared" ca="1" si="10"/>
        <v>19</v>
      </c>
      <c r="I102" t="str">
        <f t="shared" ca="1" si="14"/>
        <v>Senior</v>
      </c>
      <c r="J102">
        <v>5</v>
      </c>
      <c r="K102" s="11">
        <v>1</v>
      </c>
      <c r="L102" s="11" t="str">
        <f t="shared" si="15"/>
        <v>Poor Performer</v>
      </c>
      <c r="M102" s="11">
        <v>22</v>
      </c>
      <c r="N102" s="11" t="str">
        <f t="shared" si="16"/>
        <v>Young Talent</v>
      </c>
      <c r="O102" s="11">
        <f t="shared" si="17"/>
        <v>38</v>
      </c>
      <c r="P102" s="12">
        <v>1415158</v>
      </c>
      <c r="Q102" t="str">
        <f t="shared" si="18"/>
        <v>Low</v>
      </c>
    </row>
    <row r="103" spans="1:17" ht="12.5" x14ac:dyDescent="0.25">
      <c r="A103" s="9" t="s">
        <v>120</v>
      </c>
      <c r="B103" s="9" t="s">
        <v>20</v>
      </c>
      <c r="C103" s="9" t="s">
        <v>21</v>
      </c>
      <c r="D103" s="10">
        <v>42377</v>
      </c>
      <c r="E103" s="10" t="str">
        <f t="shared" si="11"/>
        <v>2016</v>
      </c>
      <c r="F103" s="10" t="str">
        <f t="shared" si="12"/>
        <v>Jan</v>
      </c>
      <c r="G103" s="10" t="str">
        <f t="shared" si="13"/>
        <v>Q1</v>
      </c>
      <c r="H103" s="11">
        <f t="shared" ca="1" si="10"/>
        <v>9</v>
      </c>
      <c r="I103" t="str">
        <f t="shared" ca="1" si="14"/>
        <v>Established</v>
      </c>
      <c r="J103">
        <v>3</v>
      </c>
      <c r="K103" s="11">
        <v>2</v>
      </c>
      <c r="L103" s="11" t="str">
        <f t="shared" si="15"/>
        <v>Fair Performer</v>
      </c>
      <c r="M103" s="11">
        <v>33</v>
      </c>
      <c r="N103" s="11" t="str">
        <f t="shared" si="16"/>
        <v>Emerging Professional</v>
      </c>
      <c r="O103" s="11">
        <f t="shared" si="17"/>
        <v>27</v>
      </c>
      <c r="P103" s="12">
        <v>2854455</v>
      </c>
      <c r="Q103" t="str">
        <f t="shared" si="18"/>
        <v>Medium</v>
      </c>
    </row>
    <row r="104" spans="1:17" ht="12.5" x14ac:dyDescent="0.25">
      <c r="A104" s="9" t="s">
        <v>121</v>
      </c>
      <c r="B104" s="9" t="s">
        <v>16</v>
      </c>
      <c r="C104" s="9" t="s">
        <v>17</v>
      </c>
      <c r="D104" s="10">
        <v>38550</v>
      </c>
      <c r="E104" s="10" t="str">
        <f t="shared" si="11"/>
        <v>2005</v>
      </c>
      <c r="F104" s="10" t="str">
        <f t="shared" si="12"/>
        <v>Jul</v>
      </c>
      <c r="G104" s="10" t="str">
        <f t="shared" si="13"/>
        <v>Q3</v>
      </c>
      <c r="H104" s="11">
        <f t="shared" ca="1" si="10"/>
        <v>20</v>
      </c>
      <c r="I104" t="str">
        <f t="shared" ca="1" si="14"/>
        <v>Senior</v>
      </c>
      <c r="J104">
        <v>3</v>
      </c>
      <c r="K104" s="11">
        <v>1</v>
      </c>
      <c r="L104" s="11" t="str">
        <f t="shared" si="15"/>
        <v>Poor Performer</v>
      </c>
      <c r="M104" s="11">
        <v>53</v>
      </c>
      <c r="N104" s="11" t="str">
        <f t="shared" si="16"/>
        <v>Senior Professional</v>
      </c>
      <c r="O104" s="11">
        <f t="shared" si="17"/>
        <v>7</v>
      </c>
      <c r="P104" s="12">
        <v>4049370</v>
      </c>
      <c r="Q104" t="str">
        <f t="shared" si="18"/>
        <v>High</v>
      </c>
    </row>
    <row r="105" spans="1:17" ht="12.5" x14ac:dyDescent="0.25">
      <c r="A105" s="9" t="s">
        <v>122</v>
      </c>
      <c r="B105" s="9" t="s">
        <v>49</v>
      </c>
      <c r="C105" s="9" t="s">
        <v>50</v>
      </c>
      <c r="D105" s="10">
        <v>44289</v>
      </c>
      <c r="E105" s="10" t="str">
        <f t="shared" si="11"/>
        <v>2021</v>
      </c>
      <c r="F105" s="10" t="str">
        <f t="shared" si="12"/>
        <v>Apr</v>
      </c>
      <c r="G105" s="10" t="str">
        <f t="shared" si="13"/>
        <v>Q2</v>
      </c>
      <c r="H105" s="11">
        <f t="shared" ca="1" si="10"/>
        <v>4</v>
      </c>
      <c r="I105" t="str">
        <f t="shared" ca="1" si="14"/>
        <v>Junior</v>
      </c>
      <c r="J105">
        <v>3</v>
      </c>
      <c r="K105" s="11">
        <v>5</v>
      </c>
      <c r="L105" s="11" t="str">
        <f t="shared" si="15"/>
        <v>Excellent Performer</v>
      </c>
      <c r="M105" s="11">
        <v>40</v>
      </c>
      <c r="N105" s="11" t="str">
        <f t="shared" si="16"/>
        <v>Established Professional</v>
      </c>
      <c r="O105" s="11">
        <f t="shared" si="17"/>
        <v>20</v>
      </c>
      <c r="P105" s="12">
        <v>2354988</v>
      </c>
      <c r="Q105" t="str">
        <f t="shared" si="18"/>
        <v>Medium</v>
      </c>
    </row>
    <row r="106" spans="1:17" ht="12.5" x14ac:dyDescent="0.25">
      <c r="A106" s="9" t="s">
        <v>123</v>
      </c>
      <c r="B106" s="9" t="s">
        <v>49</v>
      </c>
      <c r="C106" s="9" t="s">
        <v>50</v>
      </c>
      <c r="D106" s="10">
        <v>44272</v>
      </c>
      <c r="E106" s="10" t="str">
        <f t="shared" si="11"/>
        <v>2021</v>
      </c>
      <c r="F106" s="10" t="str">
        <f t="shared" si="12"/>
        <v>Mar</v>
      </c>
      <c r="G106" s="10" t="str">
        <f t="shared" si="13"/>
        <v>Q1</v>
      </c>
      <c r="H106" s="11">
        <f t="shared" ca="1" si="10"/>
        <v>4</v>
      </c>
      <c r="I106" t="str">
        <f t="shared" ca="1" si="14"/>
        <v>Junior</v>
      </c>
      <c r="J106">
        <v>6</v>
      </c>
      <c r="K106" s="11">
        <v>5</v>
      </c>
      <c r="L106" s="11" t="str">
        <f t="shared" si="15"/>
        <v>Excellent Performer</v>
      </c>
      <c r="M106" s="11">
        <v>39</v>
      </c>
      <c r="N106" s="11" t="str">
        <f t="shared" si="16"/>
        <v>Established Professional</v>
      </c>
      <c r="O106" s="11">
        <f t="shared" si="17"/>
        <v>21</v>
      </c>
      <c r="P106" s="12">
        <v>2584659</v>
      </c>
      <c r="Q106" t="str">
        <f t="shared" si="18"/>
        <v>Medium</v>
      </c>
    </row>
    <row r="107" spans="1:17" ht="12.5" x14ac:dyDescent="0.25">
      <c r="A107" s="9" t="s">
        <v>124</v>
      </c>
      <c r="B107" s="9" t="s">
        <v>13</v>
      </c>
      <c r="C107" s="9" t="s">
        <v>14</v>
      </c>
      <c r="D107" s="10">
        <v>38462</v>
      </c>
      <c r="E107" s="10" t="str">
        <f t="shared" si="11"/>
        <v>2005</v>
      </c>
      <c r="F107" s="10" t="str">
        <f t="shared" si="12"/>
        <v>Apr</v>
      </c>
      <c r="G107" s="10" t="str">
        <f t="shared" si="13"/>
        <v>Q2</v>
      </c>
      <c r="H107" s="11">
        <f t="shared" ca="1" si="10"/>
        <v>20</v>
      </c>
      <c r="I107" t="str">
        <f t="shared" ca="1" si="14"/>
        <v>Senior</v>
      </c>
      <c r="J107">
        <v>5</v>
      </c>
      <c r="K107" s="11">
        <v>3</v>
      </c>
      <c r="L107" s="11" t="str">
        <f t="shared" si="15"/>
        <v>Average Performer</v>
      </c>
      <c r="M107" s="11">
        <v>28</v>
      </c>
      <c r="N107" s="11" t="str">
        <f t="shared" si="16"/>
        <v>Emerging Professional</v>
      </c>
      <c r="O107" s="11">
        <f t="shared" si="17"/>
        <v>32</v>
      </c>
      <c r="P107" s="12">
        <v>3861261</v>
      </c>
      <c r="Q107" t="str">
        <f t="shared" si="18"/>
        <v>High</v>
      </c>
    </row>
    <row r="108" spans="1:17" ht="12.5" x14ac:dyDescent="0.25">
      <c r="A108" s="9" t="s">
        <v>125</v>
      </c>
      <c r="B108" s="9" t="s">
        <v>4</v>
      </c>
      <c r="C108" s="9" t="s">
        <v>5</v>
      </c>
      <c r="D108" s="10">
        <v>38163</v>
      </c>
      <c r="E108" s="10" t="str">
        <f t="shared" si="11"/>
        <v>2004</v>
      </c>
      <c r="F108" s="10" t="str">
        <f t="shared" si="12"/>
        <v>Jun</v>
      </c>
      <c r="G108" s="10" t="str">
        <f t="shared" si="13"/>
        <v>Q2</v>
      </c>
      <c r="H108" s="11">
        <f t="shared" ca="1" si="10"/>
        <v>21</v>
      </c>
      <c r="I108" t="str">
        <f t="shared" ca="1" si="14"/>
        <v>Senior</v>
      </c>
      <c r="J108">
        <v>1</v>
      </c>
      <c r="K108" s="11">
        <v>2</v>
      </c>
      <c r="L108" s="11" t="str">
        <f t="shared" si="15"/>
        <v>Fair Performer</v>
      </c>
      <c r="M108" s="11">
        <v>52</v>
      </c>
      <c r="N108" s="11" t="str">
        <f t="shared" si="16"/>
        <v>Senior Professional</v>
      </c>
      <c r="O108" s="11">
        <f t="shared" si="17"/>
        <v>8</v>
      </c>
      <c r="P108" s="12">
        <v>1617397</v>
      </c>
      <c r="Q108" t="str">
        <f t="shared" si="18"/>
        <v>Low</v>
      </c>
    </row>
    <row r="109" spans="1:17" ht="12.5" x14ac:dyDescent="0.25">
      <c r="A109" s="9" t="s">
        <v>126</v>
      </c>
      <c r="B109" s="9" t="s">
        <v>4</v>
      </c>
      <c r="C109" s="9" t="s">
        <v>5</v>
      </c>
      <c r="D109" s="10">
        <v>43630</v>
      </c>
      <c r="E109" s="10" t="str">
        <f t="shared" si="11"/>
        <v>2019</v>
      </c>
      <c r="F109" s="10" t="str">
        <f t="shared" si="12"/>
        <v>Jun</v>
      </c>
      <c r="G109" s="10" t="str">
        <f t="shared" si="13"/>
        <v>Q2</v>
      </c>
      <c r="H109" s="11">
        <f t="shared" ca="1" si="10"/>
        <v>6</v>
      </c>
      <c r="I109" t="str">
        <f t="shared" ca="1" si="14"/>
        <v>Established</v>
      </c>
      <c r="J109">
        <v>4</v>
      </c>
      <c r="K109" s="11">
        <v>4</v>
      </c>
      <c r="L109" s="11" t="str">
        <f t="shared" si="15"/>
        <v>Good Performer</v>
      </c>
      <c r="M109" s="11">
        <v>26</v>
      </c>
      <c r="N109" s="11" t="str">
        <f t="shared" si="16"/>
        <v>Emerging Professional</v>
      </c>
      <c r="O109" s="11">
        <f t="shared" si="17"/>
        <v>34</v>
      </c>
      <c r="P109" s="12">
        <v>2606701</v>
      </c>
      <c r="Q109" t="str">
        <f t="shared" si="18"/>
        <v>Medium</v>
      </c>
    </row>
    <row r="110" spans="1:17" ht="12.5" x14ac:dyDescent="0.25">
      <c r="A110" s="9" t="s">
        <v>127</v>
      </c>
      <c r="B110" s="9" t="s">
        <v>13</v>
      </c>
      <c r="C110" s="9" t="s">
        <v>14</v>
      </c>
      <c r="D110" s="10">
        <v>43271</v>
      </c>
      <c r="E110" s="10" t="str">
        <f t="shared" si="11"/>
        <v>2018</v>
      </c>
      <c r="F110" s="10" t="str">
        <f t="shared" si="12"/>
        <v>Jun</v>
      </c>
      <c r="G110" s="10" t="str">
        <f t="shared" si="13"/>
        <v>Q2</v>
      </c>
      <c r="H110" s="11">
        <f t="shared" ca="1" si="10"/>
        <v>7</v>
      </c>
      <c r="I110" t="str">
        <f t="shared" ca="1" si="14"/>
        <v>Established</v>
      </c>
      <c r="J110">
        <v>5</v>
      </c>
      <c r="K110" s="11">
        <v>1</v>
      </c>
      <c r="L110" s="11" t="str">
        <f t="shared" si="15"/>
        <v>Poor Performer</v>
      </c>
      <c r="M110" s="11">
        <v>54</v>
      </c>
      <c r="N110" s="11" t="str">
        <f t="shared" si="16"/>
        <v>Senior Professional</v>
      </c>
      <c r="O110" s="11">
        <f t="shared" si="17"/>
        <v>6</v>
      </c>
      <c r="P110" s="12">
        <v>4408025</v>
      </c>
      <c r="Q110" t="str">
        <f t="shared" si="18"/>
        <v>High</v>
      </c>
    </row>
    <row r="111" spans="1:17" ht="12.5" x14ac:dyDescent="0.25">
      <c r="A111" s="9" t="s">
        <v>128</v>
      </c>
      <c r="B111" s="9" t="s">
        <v>49</v>
      </c>
      <c r="C111" s="9" t="s">
        <v>50</v>
      </c>
      <c r="D111" s="10">
        <v>43818</v>
      </c>
      <c r="E111" s="10" t="str">
        <f t="shared" si="11"/>
        <v>2019</v>
      </c>
      <c r="F111" s="10" t="str">
        <f t="shared" si="12"/>
        <v>Dec</v>
      </c>
      <c r="G111" s="10" t="str">
        <f t="shared" si="13"/>
        <v>Q4</v>
      </c>
      <c r="H111" s="11">
        <f t="shared" ca="1" si="10"/>
        <v>6</v>
      </c>
      <c r="I111" t="str">
        <f t="shared" ca="1" si="14"/>
        <v>Established</v>
      </c>
      <c r="J111">
        <v>5</v>
      </c>
      <c r="K111" s="11">
        <v>2</v>
      </c>
      <c r="L111" s="11" t="str">
        <f t="shared" si="15"/>
        <v>Fair Performer</v>
      </c>
      <c r="M111" s="11">
        <v>54</v>
      </c>
      <c r="N111" s="11" t="str">
        <f t="shared" si="16"/>
        <v>Senior Professional</v>
      </c>
      <c r="O111" s="11">
        <f t="shared" si="17"/>
        <v>6</v>
      </c>
      <c r="P111" s="12">
        <v>946076</v>
      </c>
      <c r="Q111" t="str">
        <f t="shared" si="18"/>
        <v>Low</v>
      </c>
    </row>
    <row r="112" spans="1:17" ht="12.5" x14ac:dyDescent="0.25">
      <c r="A112" s="9" t="s">
        <v>129</v>
      </c>
      <c r="B112" s="9" t="s">
        <v>36</v>
      </c>
      <c r="C112" s="9" t="s">
        <v>37</v>
      </c>
      <c r="D112" s="10">
        <v>42680</v>
      </c>
      <c r="E112" s="10" t="str">
        <f t="shared" si="11"/>
        <v>2016</v>
      </c>
      <c r="F112" s="10" t="str">
        <f t="shared" si="12"/>
        <v>Nov</v>
      </c>
      <c r="G112" s="10" t="str">
        <f t="shared" si="13"/>
        <v>Q4</v>
      </c>
      <c r="H112" s="11">
        <f t="shared" ca="1" si="10"/>
        <v>9</v>
      </c>
      <c r="I112" t="str">
        <f t="shared" ca="1" si="14"/>
        <v>Established</v>
      </c>
      <c r="J112">
        <v>2</v>
      </c>
      <c r="K112" s="11">
        <v>2</v>
      </c>
      <c r="L112" s="11" t="str">
        <f t="shared" si="15"/>
        <v>Fair Performer</v>
      </c>
      <c r="M112" s="11">
        <v>51</v>
      </c>
      <c r="N112" s="11" t="str">
        <f t="shared" si="16"/>
        <v>Senior Professional</v>
      </c>
      <c r="O112" s="11">
        <f t="shared" si="17"/>
        <v>9</v>
      </c>
      <c r="P112" s="12">
        <v>1452194</v>
      </c>
      <c r="Q112" t="str">
        <f t="shared" si="18"/>
        <v>Low</v>
      </c>
    </row>
    <row r="113" spans="1:17" ht="12.5" x14ac:dyDescent="0.25">
      <c r="A113" s="9" t="s">
        <v>130</v>
      </c>
      <c r="B113" s="9" t="s">
        <v>4</v>
      </c>
      <c r="C113" s="9" t="s">
        <v>5</v>
      </c>
      <c r="D113" s="10">
        <v>39141</v>
      </c>
      <c r="E113" s="10" t="str">
        <f t="shared" si="11"/>
        <v>2007</v>
      </c>
      <c r="F113" s="10" t="str">
        <f t="shared" si="12"/>
        <v>Feb</v>
      </c>
      <c r="G113" s="10" t="str">
        <f t="shared" si="13"/>
        <v>Q1</v>
      </c>
      <c r="H113" s="11">
        <f t="shared" ca="1" si="10"/>
        <v>18</v>
      </c>
      <c r="I113" t="str">
        <f t="shared" ca="1" si="14"/>
        <v>Senior</v>
      </c>
      <c r="J113">
        <v>6</v>
      </c>
      <c r="K113" s="11">
        <v>2</v>
      </c>
      <c r="L113" s="11" t="str">
        <f t="shared" si="15"/>
        <v>Fair Performer</v>
      </c>
      <c r="M113" s="11">
        <v>44</v>
      </c>
      <c r="N113" s="11" t="str">
        <f t="shared" si="16"/>
        <v>Established Professional</v>
      </c>
      <c r="O113" s="11">
        <f t="shared" si="17"/>
        <v>16</v>
      </c>
      <c r="P113" s="12">
        <v>5378053</v>
      </c>
      <c r="Q113" t="str">
        <f t="shared" si="18"/>
        <v>Very High</v>
      </c>
    </row>
    <row r="114" spans="1:17" ht="12.5" x14ac:dyDescent="0.25">
      <c r="A114" s="9" t="s">
        <v>131</v>
      </c>
      <c r="B114" s="9" t="s">
        <v>4</v>
      </c>
      <c r="C114" s="9" t="s">
        <v>5</v>
      </c>
      <c r="D114" s="10">
        <v>41374</v>
      </c>
      <c r="E114" s="10" t="str">
        <f t="shared" si="11"/>
        <v>2013</v>
      </c>
      <c r="F114" s="10" t="str">
        <f t="shared" si="12"/>
        <v>Apr</v>
      </c>
      <c r="G114" s="10" t="str">
        <f t="shared" si="13"/>
        <v>Q2</v>
      </c>
      <c r="H114" s="11">
        <f t="shared" ca="1" si="10"/>
        <v>12</v>
      </c>
      <c r="I114" t="str">
        <f t="shared" ca="1" si="14"/>
        <v>Senior</v>
      </c>
      <c r="J114">
        <v>6</v>
      </c>
      <c r="K114" s="11">
        <v>3</v>
      </c>
      <c r="L114" s="11" t="str">
        <f t="shared" si="15"/>
        <v>Average Performer</v>
      </c>
      <c r="M114" s="11">
        <v>29</v>
      </c>
      <c r="N114" s="11" t="str">
        <f t="shared" si="16"/>
        <v>Emerging Professional</v>
      </c>
      <c r="O114" s="11">
        <f t="shared" si="17"/>
        <v>31</v>
      </c>
      <c r="P114" s="12">
        <v>2530937</v>
      </c>
      <c r="Q114" t="str">
        <f t="shared" si="18"/>
        <v>Medium</v>
      </c>
    </row>
    <row r="115" spans="1:17" ht="12.5" x14ac:dyDescent="0.25">
      <c r="A115" s="9" t="s">
        <v>132</v>
      </c>
      <c r="B115" s="9" t="s">
        <v>10</v>
      </c>
      <c r="C115" s="9" t="s">
        <v>11</v>
      </c>
      <c r="D115" s="10">
        <v>41839</v>
      </c>
      <c r="E115" s="10" t="str">
        <f t="shared" si="11"/>
        <v>2014</v>
      </c>
      <c r="F115" s="10" t="str">
        <f t="shared" si="12"/>
        <v>Jul</v>
      </c>
      <c r="G115" s="10" t="str">
        <f t="shared" si="13"/>
        <v>Q3</v>
      </c>
      <c r="H115" s="11">
        <f t="shared" ca="1" si="10"/>
        <v>11</v>
      </c>
      <c r="I115" t="str">
        <f t="shared" ca="1" si="14"/>
        <v>Senior</v>
      </c>
      <c r="J115">
        <v>6</v>
      </c>
      <c r="K115" s="11">
        <v>4</v>
      </c>
      <c r="L115" s="11" t="str">
        <f t="shared" si="15"/>
        <v>Good Performer</v>
      </c>
      <c r="M115" s="11">
        <v>29</v>
      </c>
      <c r="N115" s="11" t="str">
        <f t="shared" si="16"/>
        <v>Emerging Professional</v>
      </c>
      <c r="O115" s="11">
        <f t="shared" si="17"/>
        <v>31</v>
      </c>
      <c r="P115" s="12">
        <v>749911</v>
      </c>
      <c r="Q115" t="str">
        <f t="shared" si="18"/>
        <v>Low</v>
      </c>
    </row>
    <row r="116" spans="1:17" ht="12.5" x14ac:dyDescent="0.25">
      <c r="A116" s="9" t="s">
        <v>133</v>
      </c>
      <c r="B116" s="9" t="s">
        <v>36</v>
      </c>
      <c r="C116" s="9" t="s">
        <v>37</v>
      </c>
      <c r="D116" s="10">
        <v>39432</v>
      </c>
      <c r="E116" s="10" t="str">
        <f t="shared" si="11"/>
        <v>2007</v>
      </c>
      <c r="F116" s="10" t="str">
        <f t="shared" si="12"/>
        <v>Dec</v>
      </c>
      <c r="G116" s="10" t="str">
        <f t="shared" si="13"/>
        <v>Q4</v>
      </c>
      <c r="H116" s="11">
        <f t="shared" ca="1" si="10"/>
        <v>18</v>
      </c>
      <c r="I116" t="str">
        <f t="shared" ca="1" si="14"/>
        <v>Senior</v>
      </c>
      <c r="J116">
        <v>5</v>
      </c>
      <c r="K116" s="11">
        <v>4</v>
      </c>
      <c r="L116" s="11" t="str">
        <f t="shared" si="15"/>
        <v>Good Performer</v>
      </c>
      <c r="M116" s="11">
        <v>29</v>
      </c>
      <c r="N116" s="11" t="str">
        <f t="shared" si="16"/>
        <v>Emerging Professional</v>
      </c>
      <c r="O116" s="11">
        <f t="shared" si="17"/>
        <v>31</v>
      </c>
      <c r="P116" s="12">
        <v>5684350</v>
      </c>
      <c r="Q116" t="str">
        <f t="shared" si="18"/>
        <v>Very High</v>
      </c>
    </row>
    <row r="117" spans="1:17" ht="12.5" x14ac:dyDescent="0.25">
      <c r="A117" s="9" t="s">
        <v>134</v>
      </c>
      <c r="B117" s="9" t="s">
        <v>20</v>
      </c>
      <c r="C117" s="9" t="s">
        <v>21</v>
      </c>
      <c r="D117" s="10">
        <v>44167</v>
      </c>
      <c r="E117" s="10" t="str">
        <f t="shared" si="11"/>
        <v>2020</v>
      </c>
      <c r="F117" s="10" t="str">
        <f t="shared" si="12"/>
        <v>Dec</v>
      </c>
      <c r="G117" s="10" t="str">
        <f t="shared" si="13"/>
        <v>Q4</v>
      </c>
      <c r="H117" s="11">
        <f t="shared" ca="1" si="10"/>
        <v>5</v>
      </c>
      <c r="I117" t="str">
        <f t="shared" ca="1" si="14"/>
        <v>Established</v>
      </c>
      <c r="J117">
        <v>6</v>
      </c>
      <c r="K117" s="11">
        <v>5</v>
      </c>
      <c r="L117" s="11" t="str">
        <f t="shared" si="15"/>
        <v>Excellent Performer</v>
      </c>
      <c r="M117" s="11">
        <v>21</v>
      </c>
      <c r="N117" s="11" t="str">
        <f t="shared" si="16"/>
        <v>Young Talent</v>
      </c>
      <c r="O117" s="11">
        <f t="shared" si="17"/>
        <v>39</v>
      </c>
      <c r="P117" s="12">
        <v>4717693</v>
      </c>
      <c r="Q117" t="str">
        <f t="shared" si="18"/>
        <v>Very High</v>
      </c>
    </row>
    <row r="118" spans="1:17" ht="12.5" x14ac:dyDescent="0.25">
      <c r="A118" s="9" t="s">
        <v>135</v>
      </c>
      <c r="B118" s="9" t="s">
        <v>7</v>
      </c>
      <c r="C118" s="9" t="s">
        <v>8</v>
      </c>
      <c r="D118" s="10">
        <v>38358</v>
      </c>
      <c r="E118" s="10" t="str">
        <f t="shared" si="11"/>
        <v>2005</v>
      </c>
      <c r="F118" s="10" t="str">
        <f t="shared" si="12"/>
        <v>Jan</v>
      </c>
      <c r="G118" s="10" t="str">
        <f t="shared" si="13"/>
        <v>Q1</v>
      </c>
      <c r="H118" s="11">
        <f t="shared" ca="1" si="10"/>
        <v>20</v>
      </c>
      <c r="I118" t="str">
        <f t="shared" ca="1" si="14"/>
        <v>Senior</v>
      </c>
      <c r="J118">
        <v>2</v>
      </c>
      <c r="K118" s="11">
        <v>1</v>
      </c>
      <c r="L118" s="11" t="str">
        <f t="shared" si="15"/>
        <v>Poor Performer</v>
      </c>
      <c r="M118" s="11">
        <v>33</v>
      </c>
      <c r="N118" s="11" t="str">
        <f t="shared" si="16"/>
        <v>Emerging Professional</v>
      </c>
      <c r="O118" s="11">
        <f t="shared" si="17"/>
        <v>27</v>
      </c>
      <c r="P118" s="12">
        <v>2668738</v>
      </c>
      <c r="Q118" t="str">
        <f t="shared" si="18"/>
        <v>Medium</v>
      </c>
    </row>
    <row r="119" spans="1:17" ht="12.5" x14ac:dyDescent="0.25">
      <c r="A119" s="9" t="s">
        <v>136</v>
      </c>
      <c r="B119" s="9" t="s">
        <v>7</v>
      </c>
      <c r="C119" s="9" t="s">
        <v>8</v>
      </c>
      <c r="D119" s="10">
        <v>38597</v>
      </c>
      <c r="E119" s="10" t="str">
        <f t="shared" si="11"/>
        <v>2005</v>
      </c>
      <c r="F119" s="10" t="str">
        <f t="shared" si="12"/>
        <v>Sep</v>
      </c>
      <c r="G119" s="10" t="str">
        <f t="shared" si="13"/>
        <v>Q3</v>
      </c>
      <c r="H119" s="11">
        <f t="shared" ca="1" si="10"/>
        <v>20</v>
      </c>
      <c r="I119" t="str">
        <f t="shared" ca="1" si="14"/>
        <v>Senior</v>
      </c>
      <c r="J119">
        <v>6</v>
      </c>
      <c r="K119" s="11">
        <v>5</v>
      </c>
      <c r="L119" s="11" t="str">
        <f t="shared" si="15"/>
        <v>Excellent Performer</v>
      </c>
      <c r="M119" s="11">
        <v>28</v>
      </c>
      <c r="N119" s="11" t="str">
        <f t="shared" si="16"/>
        <v>Emerging Professional</v>
      </c>
      <c r="O119" s="11">
        <f t="shared" si="17"/>
        <v>32</v>
      </c>
      <c r="P119" s="12">
        <v>693752</v>
      </c>
      <c r="Q119" t="str">
        <f t="shared" si="18"/>
        <v>Low</v>
      </c>
    </row>
    <row r="120" spans="1:17" ht="12.5" x14ac:dyDescent="0.25">
      <c r="A120" s="9" t="s">
        <v>137</v>
      </c>
      <c r="B120" s="9" t="s">
        <v>13</v>
      </c>
      <c r="C120" s="9" t="s">
        <v>14</v>
      </c>
      <c r="D120" s="10">
        <v>43871</v>
      </c>
      <c r="E120" s="10" t="str">
        <f t="shared" si="11"/>
        <v>2020</v>
      </c>
      <c r="F120" s="10" t="str">
        <f t="shared" si="12"/>
        <v>Feb</v>
      </c>
      <c r="G120" s="10" t="str">
        <f t="shared" si="13"/>
        <v>Q1</v>
      </c>
      <c r="H120" s="11">
        <f t="shared" ca="1" si="10"/>
        <v>5</v>
      </c>
      <c r="I120" t="str">
        <f t="shared" ca="1" si="14"/>
        <v>Established</v>
      </c>
      <c r="J120">
        <v>7</v>
      </c>
      <c r="K120" s="11">
        <v>2</v>
      </c>
      <c r="L120" s="11" t="str">
        <f t="shared" si="15"/>
        <v>Fair Performer</v>
      </c>
      <c r="M120" s="11">
        <v>25</v>
      </c>
      <c r="N120" s="11" t="str">
        <f t="shared" si="16"/>
        <v>Emerging Professional</v>
      </c>
      <c r="O120" s="11">
        <f t="shared" si="17"/>
        <v>35</v>
      </c>
      <c r="P120" s="12">
        <v>4541832</v>
      </c>
      <c r="Q120" t="str">
        <f t="shared" si="18"/>
        <v>Very High</v>
      </c>
    </row>
    <row r="121" spans="1:17" ht="12.5" x14ac:dyDescent="0.25">
      <c r="A121" s="9" t="s">
        <v>138</v>
      </c>
      <c r="B121" s="9" t="s">
        <v>49</v>
      </c>
      <c r="C121" s="9" t="s">
        <v>50</v>
      </c>
      <c r="D121" s="10">
        <v>39323</v>
      </c>
      <c r="E121" s="10" t="str">
        <f t="shared" si="11"/>
        <v>2007</v>
      </c>
      <c r="F121" s="10" t="str">
        <f t="shared" si="12"/>
        <v>Aug</v>
      </c>
      <c r="G121" s="10" t="str">
        <f t="shared" si="13"/>
        <v>Q3</v>
      </c>
      <c r="H121" s="11">
        <f t="shared" ca="1" si="10"/>
        <v>18</v>
      </c>
      <c r="I121" t="str">
        <f t="shared" ca="1" si="14"/>
        <v>Senior</v>
      </c>
      <c r="J121">
        <v>5</v>
      </c>
      <c r="K121" s="11">
        <v>1</v>
      </c>
      <c r="L121" s="11" t="str">
        <f t="shared" si="15"/>
        <v>Poor Performer</v>
      </c>
      <c r="M121" s="11">
        <v>37</v>
      </c>
      <c r="N121" s="11" t="str">
        <f t="shared" si="16"/>
        <v>Established Professional</v>
      </c>
      <c r="O121" s="11">
        <f t="shared" si="17"/>
        <v>23</v>
      </c>
      <c r="P121" s="12">
        <v>362379</v>
      </c>
      <c r="Q121" t="str">
        <f t="shared" si="18"/>
        <v>Low</v>
      </c>
    </row>
    <row r="122" spans="1:17" ht="12.5" x14ac:dyDescent="0.25">
      <c r="A122" s="9" t="s">
        <v>139</v>
      </c>
      <c r="B122" s="9" t="s">
        <v>49</v>
      </c>
      <c r="C122" s="9" t="s">
        <v>50</v>
      </c>
      <c r="D122" s="10">
        <v>43301</v>
      </c>
      <c r="E122" s="10" t="str">
        <f t="shared" si="11"/>
        <v>2018</v>
      </c>
      <c r="F122" s="10" t="str">
        <f t="shared" si="12"/>
        <v>Jul</v>
      </c>
      <c r="G122" s="10" t="str">
        <f t="shared" si="13"/>
        <v>Q3</v>
      </c>
      <c r="H122" s="11">
        <f t="shared" ca="1" si="10"/>
        <v>7</v>
      </c>
      <c r="I122" t="str">
        <f t="shared" ca="1" si="14"/>
        <v>Established</v>
      </c>
      <c r="J122">
        <v>3</v>
      </c>
      <c r="K122" s="11">
        <v>5</v>
      </c>
      <c r="L122" s="11" t="str">
        <f t="shared" si="15"/>
        <v>Excellent Performer</v>
      </c>
      <c r="M122" s="11">
        <v>32</v>
      </c>
      <c r="N122" s="11" t="str">
        <f t="shared" si="16"/>
        <v>Emerging Professional</v>
      </c>
      <c r="O122" s="11">
        <f t="shared" si="17"/>
        <v>28</v>
      </c>
      <c r="P122" s="12">
        <v>3288736</v>
      </c>
      <c r="Q122" t="str">
        <f t="shared" si="18"/>
        <v>High</v>
      </c>
    </row>
    <row r="123" spans="1:17" ht="12.5" x14ac:dyDescent="0.25">
      <c r="A123" s="9" t="s">
        <v>140</v>
      </c>
      <c r="B123" s="9" t="s">
        <v>20</v>
      </c>
      <c r="C123" s="9" t="s">
        <v>21</v>
      </c>
      <c r="D123" s="10">
        <v>42636</v>
      </c>
      <c r="E123" s="10" t="str">
        <f t="shared" si="11"/>
        <v>2016</v>
      </c>
      <c r="F123" s="10" t="str">
        <f t="shared" si="12"/>
        <v>Sep</v>
      </c>
      <c r="G123" s="10" t="str">
        <f t="shared" si="13"/>
        <v>Q3</v>
      </c>
      <c r="H123" s="11">
        <f t="shared" ca="1" si="10"/>
        <v>9</v>
      </c>
      <c r="I123" t="str">
        <f t="shared" ca="1" si="14"/>
        <v>Established</v>
      </c>
      <c r="J123">
        <v>7</v>
      </c>
      <c r="K123" s="11">
        <v>3</v>
      </c>
      <c r="L123" s="11" t="str">
        <f t="shared" si="15"/>
        <v>Average Performer</v>
      </c>
      <c r="M123" s="11">
        <v>23</v>
      </c>
      <c r="N123" s="11" t="str">
        <f t="shared" si="16"/>
        <v>Young Talent</v>
      </c>
      <c r="O123" s="11">
        <f t="shared" si="17"/>
        <v>37</v>
      </c>
      <c r="P123" s="12">
        <v>5205646</v>
      </c>
      <c r="Q123" t="str">
        <f t="shared" si="18"/>
        <v>Very High</v>
      </c>
    </row>
    <row r="124" spans="1:17" ht="12.5" x14ac:dyDescent="0.25">
      <c r="A124" s="9" t="s">
        <v>141</v>
      </c>
      <c r="B124" s="9" t="s">
        <v>36</v>
      </c>
      <c r="C124" s="9" t="s">
        <v>37</v>
      </c>
      <c r="D124" s="10">
        <v>42566</v>
      </c>
      <c r="E124" s="10" t="str">
        <f t="shared" si="11"/>
        <v>2016</v>
      </c>
      <c r="F124" s="10" t="str">
        <f t="shared" si="12"/>
        <v>Jul</v>
      </c>
      <c r="G124" s="10" t="str">
        <f t="shared" si="13"/>
        <v>Q3</v>
      </c>
      <c r="H124" s="11">
        <f t="shared" ca="1" si="10"/>
        <v>9</v>
      </c>
      <c r="I124" t="str">
        <f t="shared" ca="1" si="14"/>
        <v>Established</v>
      </c>
      <c r="J124">
        <v>5</v>
      </c>
      <c r="K124" s="11">
        <v>3</v>
      </c>
      <c r="L124" s="11" t="str">
        <f t="shared" si="15"/>
        <v>Average Performer</v>
      </c>
      <c r="M124" s="11">
        <v>49</v>
      </c>
      <c r="N124" s="11" t="str">
        <f t="shared" si="16"/>
        <v>Senior Professional</v>
      </c>
      <c r="O124" s="11">
        <f t="shared" si="17"/>
        <v>11</v>
      </c>
      <c r="P124" s="12">
        <v>1061697</v>
      </c>
      <c r="Q124" t="str">
        <f t="shared" si="18"/>
        <v>Low</v>
      </c>
    </row>
    <row r="125" spans="1:17" ht="12.5" x14ac:dyDescent="0.25">
      <c r="A125" s="9" t="s">
        <v>142</v>
      </c>
      <c r="B125" s="9" t="s">
        <v>7</v>
      </c>
      <c r="C125" s="9" t="s">
        <v>8</v>
      </c>
      <c r="D125" s="10">
        <v>42155</v>
      </c>
      <c r="E125" s="10" t="str">
        <f t="shared" si="11"/>
        <v>2015</v>
      </c>
      <c r="F125" s="10" t="str">
        <f t="shared" si="12"/>
        <v>May</v>
      </c>
      <c r="G125" s="10" t="str">
        <f t="shared" si="13"/>
        <v>Q2</v>
      </c>
      <c r="H125" s="11">
        <f t="shared" ca="1" si="10"/>
        <v>10</v>
      </c>
      <c r="I125" t="str">
        <f t="shared" ca="1" si="14"/>
        <v>Senior</v>
      </c>
      <c r="J125">
        <v>4</v>
      </c>
      <c r="K125" s="11">
        <v>3</v>
      </c>
      <c r="L125" s="11" t="str">
        <f t="shared" si="15"/>
        <v>Average Performer</v>
      </c>
      <c r="M125" s="11">
        <v>20</v>
      </c>
      <c r="N125" s="11" t="str">
        <f t="shared" si="16"/>
        <v>Young Talent</v>
      </c>
      <c r="O125" s="11">
        <f t="shared" si="17"/>
        <v>40</v>
      </c>
      <c r="P125" s="12">
        <v>4761115</v>
      </c>
      <c r="Q125" t="str">
        <f t="shared" si="18"/>
        <v>Very High</v>
      </c>
    </row>
    <row r="126" spans="1:17" ht="12.5" x14ac:dyDescent="0.25">
      <c r="A126" s="9" t="s">
        <v>143</v>
      </c>
      <c r="B126" s="9" t="s">
        <v>4</v>
      </c>
      <c r="C126" s="9" t="s">
        <v>5</v>
      </c>
      <c r="D126" s="10">
        <v>38160</v>
      </c>
      <c r="E126" s="10" t="str">
        <f t="shared" si="11"/>
        <v>2004</v>
      </c>
      <c r="F126" s="10" t="str">
        <f t="shared" si="12"/>
        <v>Jun</v>
      </c>
      <c r="G126" s="10" t="str">
        <f t="shared" si="13"/>
        <v>Q2</v>
      </c>
      <c r="H126" s="11">
        <f t="shared" ca="1" si="10"/>
        <v>21</v>
      </c>
      <c r="I126" t="str">
        <f t="shared" ca="1" si="14"/>
        <v>Senior</v>
      </c>
      <c r="J126">
        <v>5</v>
      </c>
      <c r="K126" s="11">
        <v>1</v>
      </c>
      <c r="L126" s="11" t="str">
        <f t="shared" si="15"/>
        <v>Poor Performer</v>
      </c>
      <c r="M126" s="11">
        <v>55</v>
      </c>
      <c r="N126" s="11" t="str">
        <f t="shared" si="16"/>
        <v>Senior Professional</v>
      </c>
      <c r="O126" s="11">
        <f t="shared" si="17"/>
        <v>5</v>
      </c>
      <c r="P126" s="12">
        <v>5325218</v>
      </c>
      <c r="Q126" t="str">
        <f t="shared" si="18"/>
        <v>Very High</v>
      </c>
    </row>
    <row r="127" spans="1:17" ht="12.5" x14ac:dyDescent="0.25">
      <c r="A127" s="9" t="s">
        <v>144</v>
      </c>
      <c r="B127" s="9" t="s">
        <v>49</v>
      </c>
      <c r="C127" s="9" t="s">
        <v>50</v>
      </c>
      <c r="D127" s="10">
        <v>40220</v>
      </c>
      <c r="E127" s="10" t="str">
        <f t="shared" si="11"/>
        <v>2010</v>
      </c>
      <c r="F127" s="10" t="str">
        <f t="shared" si="12"/>
        <v>Feb</v>
      </c>
      <c r="G127" s="10" t="str">
        <f t="shared" si="13"/>
        <v>Q1</v>
      </c>
      <c r="H127" s="11">
        <f t="shared" ca="1" si="10"/>
        <v>15</v>
      </c>
      <c r="I127" t="str">
        <f t="shared" ca="1" si="14"/>
        <v>Senior</v>
      </c>
      <c r="J127">
        <v>4</v>
      </c>
      <c r="K127" s="11">
        <v>5</v>
      </c>
      <c r="L127" s="11" t="str">
        <f t="shared" si="15"/>
        <v>Excellent Performer</v>
      </c>
      <c r="M127" s="11">
        <v>54</v>
      </c>
      <c r="N127" s="11" t="str">
        <f t="shared" si="16"/>
        <v>Senior Professional</v>
      </c>
      <c r="O127" s="11">
        <f t="shared" si="17"/>
        <v>6</v>
      </c>
      <c r="P127" s="12">
        <v>5243160</v>
      </c>
      <c r="Q127" t="str">
        <f t="shared" si="18"/>
        <v>Very High</v>
      </c>
    </row>
    <row r="128" spans="1:17" ht="12.5" x14ac:dyDescent="0.25">
      <c r="A128" s="9" t="s">
        <v>145</v>
      </c>
      <c r="B128" s="9" t="s">
        <v>36</v>
      </c>
      <c r="C128" s="9" t="s">
        <v>37</v>
      </c>
      <c r="D128" s="10">
        <v>38053</v>
      </c>
      <c r="E128" s="10" t="str">
        <f t="shared" si="11"/>
        <v>2004</v>
      </c>
      <c r="F128" s="10" t="str">
        <f t="shared" si="12"/>
        <v>Mar</v>
      </c>
      <c r="G128" s="10" t="str">
        <f t="shared" si="13"/>
        <v>Q1</v>
      </c>
      <c r="H128" s="11">
        <f t="shared" ca="1" si="10"/>
        <v>21</v>
      </c>
      <c r="I128" t="str">
        <f t="shared" ca="1" si="14"/>
        <v>Senior</v>
      </c>
      <c r="J128">
        <v>4</v>
      </c>
      <c r="K128" s="11">
        <v>4</v>
      </c>
      <c r="L128" s="11" t="str">
        <f t="shared" si="15"/>
        <v>Good Performer</v>
      </c>
      <c r="M128" s="11">
        <v>21</v>
      </c>
      <c r="N128" s="11" t="str">
        <f t="shared" si="16"/>
        <v>Young Talent</v>
      </c>
      <c r="O128" s="11">
        <f t="shared" si="17"/>
        <v>39</v>
      </c>
      <c r="P128" s="12">
        <v>1817980</v>
      </c>
      <c r="Q128" t="str">
        <f t="shared" si="18"/>
        <v>Low</v>
      </c>
    </row>
    <row r="129" spans="1:17" ht="12.5" x14ac:dyDescent="0.25">
      <c r="A129" s="9" t="s">
        <v>146</v>
      </c>
      <c r="B129" s="9" t="s">
        <v>7</v>
      </c>
      <c r="C129" s="9" t="s">
        <v>8</v>
      </c>
      <c r="D129" s="10">
        <v>45247</v>
      </c>
      <c r="E129" s="10" t="str">
        <f t="shared" si="11"/>
        <v>2023</v>
      </c>
      <c r="F129" s="10" t="str">
        <f t="shared" si="12"/>
        <v>Nov</v>
      </c>
      <c r="G129" s="10" t="str">
        <f t="shared" si="13"/>
        <v>Q4</v>
      </c>
      <c r="H129" s="11">
        <f t="shared" ca="1" si="10"/>
        <v>2</v>
      </c>
      <c r="I129" t="str">
        <f t="shared" ca="1" si="14"/>
        <v>Junior</v>
      </c>
      <c r="J129">
        <v>7</v>
      </c>
      <c r="K129" s="11">
        <v>1</v>
      </c>
      <c r="L129" s="11" t="str">
        <f t="shared" si="15"/>
        <v>Poor Performer</v>
      </c>
      <c r="M129" s="11">
        <v>25</v>
      </c>
      <c r="N129" s="11" t="str">
        <f t="shared" si="16"/>
        <v>Emerging Professional</v>
      </c>
      <c r="O129" s="11">
        <f t="shared" si="17"/>
        <v>35</v>
      </c>
      <c r="P129" s="12">
        <v>617036</v>
      </c>
      <c r="Q129" t="str">
        <f t="shared" si="18"/>
        <v>Low</v>
      </c>
    </row>
    <row r="130" spans="1:17" ht="12.5" x14ac:dyDescent="0.25">
      <c r="A130" s="9" t="s">
        <v>147</v>
      </c>
      <c r="B130" s="9" t="s">
        <v>7</v>
      </c>
      <c r="C130" s="9" t="s">
        <v>8</v>
      </c>
      <c r="D130" s="10">
        <v>41288</v>
      </c>
      <c r="E130" s="10" t="str">
        <f t="shared" si="11"/>
        <v>2013</v>
      </c>
      <c r="F130" s="10" t="str">
        <f t="shared" si="12"/>
        <v>Jan</v>
      </c>
      <c r="G130" s="10" t="str">
        <f t="shared" si="13"/>
        <v>Q1</v>
      </c>
      <c r="H130" s="11">
        <f t="shared" ref="H130:H193" ca="1" si="19">TEXT(TODAY(), "YYYY")-TEXT(D130, "YYYY")</f>
        <v>12</v>
      </c>
      <c r="I130" t="str">
        <f t="shared" ca="1" si="14"/>
        <v>Senior</v>
      </c>
      <c r="J130">
        <v>6</v>
      </c>
      <c r="K130" s="11">
        <v>5</v>
      </c>
      <c r="L130" s="11" t="str">
        <f t="shared" si="15"/>
        <v>Excellent Performer</v>
      </c>
      <c r="M130" s="11">
        <v>35</v>
      </c>
      <c r="N130" s="11" t="str">
        <f t="shared" si="16"/>
        <v>Established Professional</v>
      </c>
      <c r="O130" s="11">
        <f t="shared" si="17"/>
        <v>25</v>
      </c>
      <c r="P130" s="12">
        <v>1757782</v>
      </c>
      <c r="Q130" t="str">
        <f t="shared" si="18"/>
        <v>Low</v>
      </c>
    </row>
    <row r="131" spans="1:17" ht="12.5" x14ac:dyDescent="0.25">
      <c r="A131" s="9" t="s">
        <v>148</v>
      </c>
      <c r="B131" s="9" t="s">
        <v>13</v>
      </c>
      <c r="C131" s="9" t="s">
        <v>14</v>
      </c>
      <c r="D131" s="10">
        <v>38505</v>
      </c>
      <c r="E131" s="10" t="str">
        <f t="shared" ref="E131:E194" si="20">TEXT(D131, "YYYY")</f>
        <v>2005</v>
      </c>
      <c r="F131" s="10" t="str">
        <f t="shared" ref="F131:F194" si="21">TEXT(D131, "MMM")</f>
        <v>Jun</v>
      </c>
      <c r="G131" s="10" t="str">
        <f t="shared" ref="G131:G194" si="22">"Q" &amp; ROUNDUP(MONTH(D131)/3,0)</f>
        <v>Q2</v>
      </c>
      <c r="H131" s="11">
        <f t="shared" ca="1" si="19"/>
        <v>20</v>
      </c>
      <c r="I131" t="str">
        <f t="shared" ref="I131:I194" ca="1" si="23">IF(AND(H131&gt;=0, H131&lt;2), "Fresher", IF(AND(H131&gt;=2, H131&lt;5), "Junior", IF(AND(H131&gt;=5, H131&lt;10), "Established", "Senior")))</f>
        <v>Senior</v>
      </c>
      <c r="J131">
        <v>3</v>
      </c>
      <c r="K131" s="11">
        <v>3</v>
      </c>
      <c r="L131" s="11" t="str">
        <f t="shared" ref="L131:L194" si="24">IF(K131=1, "Poor Performer", IF(K131=2, "Fair Performer", IF(K131=3, "Average Performer", IF(K131=4, "Good Performer", "Excellent Performer"))))</f>
        <v>Average Performer</v>
      </c>
      <c r="M131" s="11">
        <v>27</v>
      </c>
      <c r="N131" s="11" t="str">
        <f t="shared" ref="N131:N194" si="25">IF(AND(M131&lt;25), "Young Talent", IF(AND(M131&gt;=25, M131&lt;35), "Emerging Professional", IF(AND(M131&gt;=35, M131&lt;45), "Established Professional", "Senior Professional")))</f>
        <v>Emerging Professional</v>
      </c>
      <c r="O131" s="11">
        <f t="shared" ref="O131:O194" si="26">60-M131</f>
        <v>33</v>
      </c>
      <c r="P131" s="12">
        <v>3355778</v>
      </c>
      <c r="Q131" t="str">
        <f t="shared" si="18"/>
        <v>High</v>
      </c>
    </row>
    <row r="132" spans="1:17" ht="12.5" x14ac:dyDescent="0.25">
      <c r="A132" s="9" t="s">
        <v>149</v>
      </c>
      <c r="B132" s="9" t="s">
        <v>20</v>
      </c>
      <c r="C132" s="9" t="s">
        <v>21</v>
      </c>
      <c r="D132" s="10">
        <v>43252</v>
      </c>
      <c r="E132" s="10" t="str">
        <f t="shared" si="20"/>
        <v>2018</v>
      </c>
      <c r="F132" s="10" t="str">
        <f t="shared" si="21"/>
        <v>Jun</v>
      </c>
      <c r="G132" s="10" t="str">
        <f t="shared" si="22"/>
        <v>Q2</v>
      </c>
      <c r="H132" s="11">
        <f t="shared" ca="1" si="19"/>
        <v>7</v>
      </c>
      <c r="I132" t="str">
        <f t="shared" ca="1" si="23"/>
        <v>Established</v>
      </c>
      <c r="J132">
        <v>6</v>
      </c>
      <c r="K132" s="11">
        <v>3</v>
      </c>
      <c r="L132" s="11" t="str">
        <f t="shared" si="24"/>
        <v>Average Performer</v>
      </c>
      <c r="M132" s="11">
        <v>54</v>
      </c>
      <c r="N132" s="11" t="str">
        <f t="shared" si="25"/>
        <v>Senior Professional</v>
      </c>
      <c r="O132" s="11">
        <f t="shared" si="26"/>
        <v>6</v>
      </c>
      <c r="P132" s="12">
        <v>2452696</v>
      </c>
      <c r="Q132" t="str">
        <f t="shared" si="18"/>
        <v>Medium</v>
      </c>
    </row>
    <row r="133" spans="1:17" ht="12.5" x14ac:dyDescent="0.25">
      <c r="A133" s="9" t="s">
        <v>150</v>
      </c>
      <c r="B133" s="9" t="s">
        <v>20</v>
      </c>
      <c r="C133" s="9" t="s">
        <v>21</v>
      </c>
      <c r="D133" s="10">
        <v>39878</v>
      </c>
      <c r="E133" s="10" t="str">
        <f t="shared" si="20"/>
        <v>2009</v>
      </c>
      <c r="F133" s="10" t="str">
        <f t="shared" si="21"/>
        <v>Mar</v>
      </c>
      <c r="G133" s="10" t="str">
        <f t="shared" si="22"/>
        <v>Q1</v>
      </c>
      <c r="H133" s="11">
        <f t="shared" ca="1" si="19"/>
        <v>16</v>
      </c>
      <c r="I133" t="str">
        <f t="shared" ca="1" si="23"/>
        <v>Senior</v>
      </c>
      <c r="J133">
        <v>7</v>
      </c>
      <c r="K133" s="11">
        <v>2</v>
      </c>
      <c r="L133" s="11" t="str">
        <f t="shared" si="24"/>
        <v>Fair Performer</v>
      </c>
      <c r="M133" s="11">
        <v>27</v>
      </c>
      <c r="N133" s="11" t="str">
        <f t="shared" si="25"/>
        <v>Emerging Professional</v>
      </c>
      <c r="O133" s="11">
        <f t="shared" si="26"/>
        <v>33</v>
      </c>
      <c r="P133" s="12">
        <v>5504602</v>
      </c>
      <c r="Q133" t="str">
        <f t="shared" si="18"/>
        <v>Very High</v>
      </c>
    </row>
    <row r="134" spans="1:17" ht="12.5" x14ac:dyDescent="0.25">
      <c r="A134" s="9" t="s">
        <v>151</v>
      </c>
      <c r="B134" s="9" t="s">
        <v>49</v>
      </c>
      <c r="C134" s="9" t="s">
        <v>50</v>
      </c>
      <c r="D134" s="10">
        <v>41812</v>
      </c>
      <c r="E134" s="10" t="str">
        <f t="shared" si="20"/>
        <v>2014</v>
      </c>
      <c r="F134" s="10" t="str">
        <f t="shared" si="21"/>
        <v>Jun</v>
      </c>
      <c r="G134" s="10" t="str">
        <f t="shared" si="22"/>
        <v>Q2</v>
      </c>
      <c r="H134" s="11">
        <f t="shared" ca="1" si="19"/>
        <v>11</v>
      </c>
      <c r="I134" t="str">
        <f t="shared" ca="1" si="23"/>
        <v>Senior</v>
      </c>
      <c r="J134">
        <v>3</v>
      </c>
      <c r="K134" s="11">
        <v>4</v>
      </c>
      <c r="L134" s="11" t="str">
        <f t="shared" si="24"/>
        <v>Good Performer</v>
      </c>
      <c r="M134" s="11">
        <v>50</v>
      </c>
      <c r="N134" s="11" t="str">
        <f t="shared" si="25"/>
        <v>Senior Professional</v>
      </c>
      <c r="O134" s="11">
        <f t="shared" si="26"/>
        <v>10</v>
      </c>
      <c r="P134" s="12">
        <v>1843476</v>
      </c>
      <c r="Q134" t="str">
        <f t="shared" si="18"/>
        <v>Low</v>
      </c>
    </row>
    <row r="135" spans="1:17" ht="12.5" x14ac:dyDescent="0.25">
      <c r="A135" s="9" t="s">
        <v>152</v>
      </c>
      <c r="B135" s="9" t="s">
        <v>4</v>
      </c>
      <c r="C135" s="9" t="s">
        <v>5</v>
      </c>
      <c r="D135" s="10">
        <v>42357</v>
      </c>
      <c r="E135" s="10" t="str">
        <f t="shared" si="20"/>
        <v>2015</v>
      </c>
      <c r="F135" s="10" t="str">
        <f t="shared" si="21"/>
        <v>Dec</v>
      </c>
      <c r="G135" s="10" t="str">
        <f t="shared" si="22"/>
        <v>Q4</v>
      </c>
      <c r="H135" s="11">
        <f t="shared" ca="1" si="19"/>
        <v>10</v>
      </c>
      <c r="I135" t="str">
        <f t="shared" ca="1" si="23"/>
        <v>Senior</v>
      </c>
      <c r="J135">
        <v>1</v>
      </c>
      <c r="K135" s="11">
        <v>4</v>
      </c>
      <c r="L135" s="11" t="str">
        <f t="shared" si="24"/>
        <v>Good Performer</v>
      </c>
      <c r="M135" s="11">
        <v>45</v>
      </c>
      <c r="N135" s="11" t="str">
        <f t="shared" si="25"/>
        <v>Senior Professional</v>
      </c>
      <c r="O135" s="11">
        <f t="shared" si="26"/>
        <v>15</v>
      </c>
      <c r="P135" s="12">
        <v>1622628</v>
      </c>
      <c r="Q135" t="str">
        <f t="shared" si="18"/>
        <v>Low</v>
      </c>
    </row>
    <row r="136" spans="1:17" ht="12.5" x14ac:dyDescent="0.25">
      <c r="A136" s="9" t="s">
        <v>153</v>
      </c>
      <c r="B136" s="9" t="s">
        <v>10</v>
      </c>
      <c r="C136" s="9" t="s">
        <v>11</v>
      </c>
      <c r="D136" s="10">
        <v>41839</v>
      </c>
      <c r="E136" s="10" t="str">
        <f t="shared" si="20"/>
        <v>2014</v>
      </c>
      <c r="F136" s="10" t="str">
        <f t="shared" si="21"/>
        <v>Jul</v>
      </c>
      <c r="G136" s="10" t="str">
        <f t="shared" si="22"/>
        <v>Q3</v>
      </c>
      <c r="H136" s="11">
        <f t="shared" ca="1" si="19"/>
        <v>11</v>
      </c>
      <c r="I136" t="str">
        <f t="shared" ca="1" si="23"/>
        <v>Senior</v>
      </c>
      <c r="J136">
        <v>7</v>
      </c>
      <c r="K136" s="11">
        <v>2</v>
      </c>
      <c r="L136" s="11" t="str">
        <f t="shared" si="24"/>
        <v>Fair Performer</v>
      </c>
      <c r="M136" s="11">
        <v>50</v>
      </c>
      <c r="N136" s="11" t="str">
        <f t="shared" si="25"/>
        <v>Senior Professional</v>
      </c>
      <c r="O136" s="11">
        <f t="shared" si="26"/>
        <v>10</v>
      </c>
      <c r="P136" s="12">
        <v>5189148</v>
      </c>
      <c r="Q136" t="str">
        <f t="shared" si="18"/>
        <v>Very High</v>
      </c>
    </row>
    <row r="137" spans="1:17" ht="12.5" x14ac:dyDescent="0.25">
      <c r="A137" s="9" t="s">
        <v>154</v>
      </c>
      <c r="B137" s="9" t="s">
        <v>20</v>
      </c>
      <c r="C137" s="9" t="s">
        <v>21</v>
      </c>
      <c r="D137" s="10">
        <v>44904</v>
      </c>
      <c r="E137" s="10" t="str">
        <f t="shared" si="20"/>
        <v>2022</v>
      </c>
      <c r="F137" s="10" t="str">
        <f t="shared" si="21"/>
        <v>Dec</v>
      </c>
      <c r="G137" s="10" t="str">
        <f t="shared" si="22"/>
        <v>Q4</v>
      </c>
      <c r="H137" s="11">
        <f t="shared" ca="1" si="19"/>
        <v>3</v>
      </c>
      <c r="I137" t="str">
        <f t="shared" ca="1" si="23"/>
        <v>Junior</v>
      </c>
      <c r="J137">
        <v>6</v>
      </c>
      <c r="K137" s="11">
        <v>3</v>
      </c>
      <c r="L137" s="11" t="str">
        <f t="shared" si="24"/>
        <v>Average Performer</v>
      </c>
      <c r="M137" s="11">
        <v>49</v>
      </c>
      <c r="N137" s="11" t="str">
        <f t="shared" si="25"/>
        <v>Senior Professional</v>
      </c>
      <c r="O137" s="11">
        <f t="shared" si="26"/>
        <v>11</v>
      </c>
      <c r="P137" s="12">
        <v>2613575</v>
      </c>
      <c r="Q137" t="str">
        <f t="shared" si="18"/>
        <v>Medium</v>
      </c>
    </row>
    <row r="138" spans="1:17" ht="12.5" x14ac:dyDescent="0.25">
      <c r="A138" s="9" t="s">
        <v>155</v>
      </c>
      <c r="B138" s="9" t="s">
        <v>20</v>
      </c>
      <c r="C138" s="9" t="s">
        <v>21</v>
      </c>
      <c r="D138" s="10">
        <v>43729</v>
      </c>
      <c r="E138" s="10" t="str">
        <f t="shared" si="20"/>
        <v>2019</v>
      </c>
      <c r="F138" s="10" t="str">
        <f t="shared" si="21"/>
        <v>Sep</v>
      </c>
      <c r="G138" s="10" t="str">
        <f t="shared" si="22"/>
        <v>Q3</v>
      </c>
      <c r="H138" s="11">
        <f t="shared" ca="1" si="19"/>
        <v>6</v>
      </c>
      <c r="I138" t="str">
        <f t="shared" ca="1" si="23"/>
        <v>Established</v>
      </c>
      <c r="J138">
        <v>3</v>
      </c>
      <c r="K138" s="11">
        <v>2</v>
      </c>
      <c r="L138" s="11" t="str">
        <f t="shared" si="24"/>
        <v>Fair Performer</v>
      </c>
      <c r="M138" s="11">
        <v>29</v>
      </c>
      <c r="N138" s="11" t="str">
        <f t="shared" si="25"/>
        <v>Emerging Professional</v>
      </c>
      <c r="O138" s="11">
        <f t="shared" si="26"/>
        <v>31</v>
      </c>
      <c r="P138" s="12">
        <v>3280834</v>
      </c>
      <c r="Q138" t="str">
        <f t="shared" si="18"/>
        <v>High</v>
      </c>
    </row>
    <row r="139" spans="1:17" ht="12.5" x14ac:dyDescent="0.25">
      <c r="A139" s="9" t="s">
        <v>156</v>
      </c>
      <c r="B139" s="9" t="s">
        <v>36</v>
      </c>
      <c r="C139" s="9" t="s">
        <v>37</v>
      </c>
      <c r="D139" s="10">
        <v>41599</v>
      </c>
      <c r="E139" s="10" t="str">
        <f t="shared" si="20"/>
        <v>2013</v>
      </c>
      <c r="F139" s="10" t="str">
        <f t="shared" si="21"/>
        <v>Nov</v>
      </c>
      <c r="G139" s="10" t="str">
        <f t="shared" si="22"/>
        <v>Q4</v>
      </c>
      <c r="H139" s="11">
        <f t="shared" ca="1" si="19"/>
        <v>12</v>
      </c>
      <c r="I139" t="str">
        <f t="shared" ca="1" si="23"/>
        <v>Senior</v>
      </c>
      <c r="J139">
        <v>6</v>
      </c>
      <c r="K139" s="11">
        <v>5</v>
      </c>
      <c r="L139" s="11" t="str">
        <f t="shared" si="24"/>
        <v>Excellent Performer</v>
      </c>
      <c r="M139" s="11">
        <v>41</v>
      </c>
      <c r="N139" s="11" t="str">
        <f t="shared" si="25"/>
        <v>Established Professional</v>
      </c>
      <c r="O139" s="11">
        <f t="shared" si="26"/>
        <v>19</v>
      </c>
      <c r="P139" s="12">
        <v>4444751</v>
      </c>
      <c r="Q139" t="str">
        <f t="shared" ref="Q139:Q202" si="27">IF(P139&lt;= _xlfn.PERCENTILE.INC(P139:P510, 0.25), "Low", IF(P139&lt;= _xlfn.PERCENTILE.INC(P139:P510, 0.5),"Medium",IF(P139&lt;= _xlfn.PERCENTILE.INC(P139:P510, 0.75),"High","Very High")))</f>
        <v>Very High</v>
      </c>
    </row>
    <row r="140" spans="1:17" ht="12.5" x14ac:dyDescent="0.25">
      <c r="A140" s="9" t="s">
        <v>157</v>
      </c>
      <c r="B140" s="9" t="s">
        <v>7</v>
      </c>
      <c r="C140" s="9" t="s">
        <v>8</v>
      </c>
      <c r="D140" s="10">
        <v>41854</v>
      </c>
      <c r="E140" s="10" t="str">
        <f t="shared" si="20"/>
        <v>2014</v>
      </c>
      <c r="F140" s="10" t="str">
        <f t="shared" si="21"/>
        <v>Aug</v>
      </c>
      <c r="G140" s="10" t="str">
        <f t="shared" si="22"/>
        <v>Q3</v>
      </c>
      <c r="H140" s="11">
        <f t="shared" ca="1" si="19"/>
        <v>11</v>
      </c>
      <c r="I140" t="str">
        <f t="shared" ca="1" si="23"/>
        <v>Senior</v>
      </c>
      <c r="J140">
        <v>7</v>
      </c>
      <c r="K140" s="11">
        <v>3</v>
      </c>
      <c r="L140" s="11" t="str">
        <f t="shared" si="24"/>
        <v>Average Performer</v>
      </c>
      <c r="M140" s="11">
        <v>24</v>
      </c>
      <c r="N140" s="11" t="str">
        <f t="shared" si="25"/>
        <v>Young Talent</v>
      </c>
      <c r="O140" s="11">
        <f t="shared" si="26"/>
        <v>36</v>
      </c>
      <c r="P140" s="12">
        <v>2796083</v>
      </c>
      <c r="Q140" t="str">
        <f t="shared" si="27"/>
        <v>Medium</v>
      </c>
    </row>
    <row r="141" spans="1:17" ht="12.5" x14ac:dyDescent="0.25">
      <c r="A141" s="9" t="s">
        <v>158</v>
      </c>
      <c r="B141" s="9" t="s">
        <v>4</v>
      </c>
      <c r="C141" s="9" t="s">
        <v>5</v>
      </c>
      <c r="D141" s="10">
        <v>38846</v>
      </c>
      <c r="E141" s="10" t="str">
        <f t="shared" si="20"/>
        <v>2006</v>
      </c>
      <c r="F141" s="10" t="str">
        <f t="shared" si="21"/>
        <v>May</v>
      </c>
      <c r="G141" s="10" t="str">
        <f t="shared" si="22"/>
        <v>Q2</v>
      </c>
      <c r="H141" s="11">
        <f t="shared" ca="1" si="19"/>
        <v>19</v>
      </c>
      <c r="I141" t="str">
        <f t="shared" ca="1" si="23"/>
        <v>Senior</v>
      </c>
      <c r="J141">
        <v>6</v>
      </c>
      <c r="K141" s="11">
        <v>2</v>
      </c>
      <c r="L141" s="11" t="str">
        <f t="shared" si="24"/>
        <v>Fair Performer</v>
      </c>
      <c r="M141" s="11">
        <v>27</v>
      </c>
      <c r="N141" s="11" t="str">
        <f t="shared" si="25"/>
        <v>Emerging Professional</v>
      </c>
      <c r="O141" s="11">
        <f t="shared" si="26"/>
        <v>33</v>
      </c>
      <c r="P141" s="12">
        <v>4422693</v>
      </c>
      <c r="Q141" t="str">
        <f t="shared" si="27"/>
        <v>High</v>
      </c>
    </row>
    <row r="142" spans="1:17" ht="12.5" x14ac:dyDescent="0.25">
      <c r="A142" s="9" t="s">
        <v>159</v>
      </c>
      <c r="B142" s="9" t="s">
        <v>13</v>
      </c>
      <c r="C142" s="9" t="s">
        <v>14</v>
      </c>
      <c r="D142" s="10">
        <v>39224</v>
      </c>
      <c r="E142" s="10" t="str">
        <f t="shared" si="20"/>
        <v>2007</v>
      </c>
      <c r="F142" s="10" t="str">
        <f t="shared" si="21"/>
        <v>May</v>
      </c>
      <c r="G142" s="10" t="str">
        <f t="shared" si="22"/>
        <v>Q2</v>
      </c>
      <c r="H142" s="11">
        <f t="shared" ca="1" si="19"/>
        <v>18</v>
      </c>
      <c r="I142" t="str">
        <f t="shared" ca="1" si="23"/>
        <v>Senior</v>
      </c>
      <c r="J142">
        <v>6</v>
      </c>
      <c r="K142" s="11">
        <v>3</v>
      </c>
      <c r="L142" s="11" t="str">
        <f t="shared" si="24"/>
        <v>Average Performer</v>
      </c>
      <c r="M142" s="11">
        <v>42</v>
      </c>
      <c r="N142" s="11" t="str">
        <f t="shared" si="25"/>
        <v>Established Professional</v>
      </c>
      <c r="O142" s="11">
        <f t="shared" si="26"/>
        <v>18</v>
      </c>
      <c r="P142" s="12">
        <v>3704107</v>
      </c>
      <c r="Q142" t="str">
        <f t="shared" si="27"/>
        <v>High</v>
      </c>
    </row>
    <row r="143" spans="1:17" ht="12.5" x14ac:dyDescent="0.25">
      <c r="A143" s="9" t="s">
        <v>160</v>
      </c>
      <c r="B143" s="9" t="s">
        <v>7</v>
      </c>
      <c r="C143" s="9" t="s">
        <v>8</v>
      </c>
      <c r="D143" s="10">
        <v>41206</v>
      </c>
      <c r="E143" s="10" t="str">
        <f t="shared" si="20"/>
        <v>2012</v>
      </c>
      <c r="F143" s="10" t="str">
        <f t="shared" si="21"/>
        <v>Oct</v>
      </c>
      <c r="G143" s="10" t="str">
        <f t="shared" si="22"/>
        <v>Q4</v>
      </c>
      <c r="H143" s="11">
        <f t="shared" ca="1" si="19"/>
        <v>13</v>
      </c>
      <c r="I143" t="str">
        <f t="shared" ca="1" si="23"/>
        <v>Senior</v>
      </c>
      <c r="J143">
        <v>1</v>
      </c>
      <c r="K143" s="11">
        <v>1</v>
      </c>
      <c r="L143" s="11" t="str">
        <f t="shared" si="24"/>
        <v>Poor Performer</v>
      </c>
      <c r="M143" s="11">
        <v>37</v>
      </c>
      <c r="N143" s="11" t="str">
        <f t="shared" si="25"/>
        <v>Established Professional</v>
      </c>
      <c r="O143" s="11">
        <f t="shared" si="26"/>
        <v>23</v>
      </c>
      <c r="P143" s="12">
        <v>5386165</v>
      </c>
      <c r="Q143" t="str">
        <f t="shared" si="27"/>
        <v>Very High</v>
      </c>
    </row>
    <row r="144" spans="1:17" ht="12.5" x14ac:dyDescent="0.25">
      <c r="A144" s="9" t="s">
        <v>161</v>
      </c>
      <c r="B144" s="9" t="s">
        <v>13</v>
      </c>
      <c r="C144" s="9" t="s">
        <v>14</v>
      </c>
      <c r="D144" s="10">
        <v>40638</v>
      </c>
      <c r="E144" s="10" t="str">
        <f t="shared" si="20"/>
        <v>2011</v>
      </c>
      <c r="F144" s="10" t="str">
        <f t="shared" si="21"/>
        <v>Apr</v>
      </c>
      <c r="G144" s="10" t="str">
        <f t="shared" si="22"/>
        <v>Q2</v>
      </c>
      <c r="H144" s="11">
        <f t="shared" ca="1" si="19"/>
        <v>14</v>
      </c>
      <c r="I144" t="str">
        <f t="shared" ca="1" si="23"/>
        <v>Senior</v>
      </c>
      <c r="J144">
        <v>7</v>
      </c>
      <c r="K144" s="11">
        <v>1</v>
      </c>
      <c r="L144" s="11" t="str">
        <f t="shared" si="24"/>
        <v>Poor Performer</v>
      </c>
      <c r="M144" s="11">
        <v>26</v>
      </c>
      <c r="N144" s="11" t="str">
        <f t="shared" si="25"/>
        <v>Emerging Professional</v>
      </c>
      <c r="O144" s="11">
        <f t="shared" si="26"/>
        <v>34</v>
      </c>
      <c r="P144" s="12">
        <v>3896110</v>
      </c>
      <c r="Q144" t="str">
        <f t="shared" si="27"/>
        <v>High</v>
      </c>
    </row>
    <row r="145" spans="1:17" ht="12.5" x14ac:dyDescent="0.25">
      <c r="A145" s="9" t="s">
        <v>162</v>
      </c>
      <c r="B145" s="9" t="s">
        <v>10</v>
      </c>
      <c r="C145" s="9" t="s">
        <v>11</v>
      </c>
      <c r="D145" s="10">
        <v>45048</v>
      </c>
      <c r="E145" s="10" t="str">
        <f t="shared" si="20"/>
        <v>2023</v>
      </c>
      <c r="F145" s="10" t="str">
        <f t="shared" si="21"/>
        <v>May</v>
      </c>
      <c r="G145" s="10" t="str">
        <f t="shared" si="22"/>
        <v>Q2</v>
      </c>
      <c r="H145" s="11">
        <f t="shared" ca="1" si="19"/>
        <v>2</v>
      </c>
      <c r="I145" t="str">
        <f t="shared" ca="1" si="23"/>
        <v>Junior</v>
      </c>
      <c r="J145">
        <v>3</v>
      </c>
      <c r="K145" s="11">
        <v>1</v>
      </c>
      <c r="L145" s="11" t="str">
        <f t="shared" si="24"/>
        <v>Poor Performer</v>
      </c>
      <c r="M145" s="11">
        <v>54</v>
      </c>
      <c r="N145" s="11" t="str">
        <f t="shared" si="25"/>
        <v>Senior Professional</v>
      </c>
      <c r="O145" s="11">
        <f t="shared" si="26"/>
        <v>6</v>
      </c>
      <c r="P145" s="12">
        <v>4329089</v>
      </c>
      <c r="Q145" t="str">
        <f t="shared" si="27"/>
        <v>High</v>
      </c>
    </row>
    <row r="146" spans="1:17" ht="12.5" x14ac:dyDescent="0.25">
      <c r="A146" s="9" t="s">
        <v>163</v>
      </c>
      <c r="B146" s="9" t="s">
        <v>16</v>
      </c>
      <c r="C146" s="9" t="s">
        <v>17</v>
      </c>
      <c r="D146" s="10">
        <v>42472</v>
      </c>
      <c r="E146" s="10" t="str">
        <f t="shared" si="20"/>
        <v>2016</v>
      </c>
      <c r="F146" s="10" t="str">
        <f t="shared" si="21"/>
        <v>Apr</v>
      </c>
      <c r="G146" s="10" t="str">
        <f t="shared" si="22"/>
        <v>Q2</v>
      </c>
      <c r="H146" s="11">
        <f t="shared" ca="1" si="19"/>
        <v>9</v>
      </c>
      <c r="I146" t="str">
        <f t="shared" ca="1" si="23"/>
        <v>Established</v>
      </c>
      <c r="J146">
        <v>1</v>
      </c>
      <c r="K146" s="11">
        <v>4</v>
      </c>
      <c r="L146" s="11" t="str">
        <f t="shared" si="24"/>
        <v>Good Performer</v>
      </c>
      <c r="M146" s="11">
        <v>35</v>
      </c>
      <c r="N146" s="11" t="str">
        <f t="shared" si="25"/>
        <v>Established Professional</v>
      </c>
      <c r="O146" s="11">
        <f t="shared" si="26"/>
        <v>25</v>
      </c>
      <c r="P146" s="12">
        <v>2648529</v>
      </c>
      <c r="Q146" t="str">
        <f t="shared" si="27"/>
        <v>Medium</v>
      </c>
    </row>
    <row r="147" spans="1:17" ht="12.5" x14ac:dyDescent="0.25">
      <c r="A147" s="9" t="s">
        <v>164</v>
      </c>
      <c r="B147" s="9" t="s">
        <v>13</v>
      </c>
      <c r="C147" s="9" t="s">
        <v>14</v>
      </c>
      <c r="D147" s="10">
        <v>41860</v>
      </c>
      <c r="E147" s="10" t="str">
        <f t="shared" si="20"/>
        <v>2014</v>
      </c>
      <c r="F147" s="10" t="str">
        <f t="shared" si="21"/>
        <v>Aug</v>
      </c>
      <c r="G147" s="10" t="str">
        <f t="shared" si="22"/>
        <v>Q3</v>
      </c>
      <c r="H147" s="11">
        <f t="shared" ca="1" si="19"/>
        <v>11</v>
      </c>
      <c r="I147" t="str">
        <f t="shared" ca="1" si="23"/>
        <v>Senior</v>
      </c>
      <c r="J147">
        <v>1</v>
      </c>
      <c r="K147" s="11">
        <v>1</v>
      </c>
      <c r="L147" s="11" t="str">
        <f t="shared" si="24"/>
        <v>Poor Performer</v>
      </c>
      <c r="M147" s="11">
        <v>46</v>
      </c>
      <c r="N147" s="11" t="str">
        <f t="shared" si="25"/>
        <v>Senior Professional</v>
      </c>
      <c r="O147" s="11">
        <f t="shared" si="26"/>
        <v>14</v>
      </c>
      <c r="P147" s="12">
        <v>1513178</v>
      </c>
      <c r="Q147" t="str">
        <f t="shared" si="27"/>
        <v>Low</v>
      </c>
    </row>
    <row r="148" spans="1:17" ht="12.5" x14ac:dyDescent="0.25">
      <c r="A148" s="9" t="s">
        <v>165</v>
      </c>
      <c r="B148" s="9" t="s">
        <v>20</v>
      </c>
      <c r="C148" s="9" t="s">
        <v>21</v>
      </c>
      <c r="D148" s="10">
        <v>38082</v>
      </c>
      <c r="E148" s="10" t="str">
        <f t="shared" si="20"/>
        <v>2004</v>
      </c>
      <c r="F148" s="10" t="str">
        <f t="shared" si="21"/>
        <v>Apr</v>
      </c>
      <c r="G148" s="10" t="str">
        <f t="shared" si="22"/>
        <v>Q2</v>
      </c>
      <c r="H148" s="11">
        <f t="shared" ca="1" si="19"/>
        <v>21</v>
      </c>
      <c r="I148" t="str">
        <f t="shared" ca="1" si="23"/>
        <v>Senior</v>
      </c>
      <c r="J148">
        <v>1</v>
      </c>
      <c r="K148" s="11">
        <v>4</v>
      </c>
      <c r="L148" s="11" t="str">
        <f t="shared" si="24"/>
        <v>Good Performer</v>
      </c>
      <c r="M148" s="11">
        <v>31</v>
      </c>
      <c r="N148" s="11" t="str">
        <f t="shared" si="25"/>
        <v>Emerging Professional</v>
      </c>
      <c r="O148" s="11">
        <f t="shared" si="26"/>
        <v>29</v>
      </c>
      <c r="P148" s="12">
        <v>4784784</v>
      </c>
      <c r="Q148" t="str">
        <f t="shared" si="27"/>
        <v>Very High</v>
      </c>
    </row>
    <row r="149" spans="1:17" ht="12.5" x14ac:dyDescent="0.25">
      <c r="A149" s="9" t="s">
        <v>166</v>
      </c>
      <c r="B149" s="9" t="s">
        <v>20</v>
      </c>
      <c r="C149" s="9" t="s">
        <v>21</v>
      </c>
      <c r="D149" s="10">
        <v>41597</v>
      </c>
      <c r="E149" s="10" t="str">
        <f t="shared" si="20"/>
        <v>2013</v>
      </c>
      <c r="F149" s="10" t="str">
        <f t="shared" si="21"/>
        <v>Nov</v>
      </c>
      <c r="G149" s="10" t="str">
        <f t="shared" si="22"/>
        <v>Q4</v>
      </c>
      <c r="H149" s="11">
        <f t="shared" ca="1" si="19"/>
        <v>12</v>
      </c>
      <c r="I149" t="str">
        <f t="shared" ca="1" si="23"/>
        <v>Senior</v>
      </c>
      <c r="J149">
        <v>4</v>
      </c>
      <c r="K149" s="11">
        <v>3</v>
      </c>
      <c r="L149" s="11" t="str">
        <f t="shared" si="24"/>
        <v>Average Performer</v>
      </c>
      <c r="M149" s="11">
        <v>55</v>
      </c>
      <c r="N149" s="11" t="str">
        <f t="shared" si="25"/>
        <v>Senior Professional</v>
      </c>
      <c r="O149" s="11">
        <f t="shared" si="26"/>
        <v>5</v>
      </c>
      <c r="P149" s="12">
        <v>3303917</v>
      </c>
      <c r="Q149" t="str">
        <f t="shared" si="27"/>
        <v>High</v>
      </c>
    </row>
    <row r="150" spans="1:17" ht="12.5" x14ac:dyDescent="0.25">
      <c r="A150" s="9" t="s">
        <v>167</v>
      </c>
      <c r="B150" s="9" t="s">
        <v>20</v>
      </c>
      <c r="C150" s="9" t="s">
        <v>21</v>
      </c>
      <c r="D150" s="10">
        <v>38367</v>
      </c>
      <c r="E150" s="10" t="str">
        <f t="shared" si="20"/>
        <v>2005</v>
      </c>
      <c r="F150" s="10" t="str">
        <f t="shared" si="21"/>
        <v>Jan</v>
      </c>
      <c r="G150" s="10" t="str">
        <f t="shared" si="22"/>
        <v>Q1</v>
      </c>
      <c r="H150" s="11">
        <f t="shared" ca="1" si="19"/>
        <v>20</v>
      </c>
      <c r="I150" t="str">
        <f t="shared" ca="1" si="23"/>
        <v>Senior</v>
      </c>
      <c r="J150">
        <v>1</v>
      </c>
      <c r="K150" s="11">
        <v>3</v>
      </c>
      <c r="L150" s="11" t="str">
        <f t="shared" si="24"/>
        <v>Average Performer</v>
      </c>
      <c r="M150" s="11">
        <v>44</v>
      </c>
      <c r="N150" s="11" t="str">
        <f t="shared" si="25"/>
        <v>Established Professional</v>
      </c>
      <c r="O150" s="11">
        <f t="shared" si="26"/>
        <v>16</v>
      </c>
      <c r="P150" s="12">
        <v>5279728</v>
      </c>
      <c r="Q150" t="str">
        <f t="shared" si="27"/>
        <v>Very High</v>
      </c>
    </row>
    <row r="151" spans="1:17" ht="12.5" x14ac:dyDescent="0.25">
      <c r="A151" s="9" t="s">
        <v>168</v>
      </c>
      <c r="B151" s="9" t="s">
        <v>49</v>
      </c>
      <c r="C151" s="9" t="s">
        <v>50</v>
      </c>
      <c r="D151" s="10">
        <v>40379</v>
      </c>
      <c r="E151" s="10" t="str">
        <f t="shared" si="20"/>
        <v>2010</v>
      </c>
      <c r="F151" s="10" t="str">
        <f t="shared" si="21"/>
        <v>Jul</v>
      </c>
      <c r="G151" s="10" t="str">
        <f t="shared" si="22"/>
        <v>Q3</v>
      </c>
      <c r="H151" s="11">
        <f t="shared" ca="1" si="19"/>
        <v>15</v>
      </c>
      <c r="I151" t="str">
        <f t="shared" ca="1" si="23"/>
        <v>Senior</v>
      </c>
      <c r="J151">
        <v>6</v>
      </c>
      <c r="K151" s="11">
        <v>3</v>
      </c>
      <c r="L151" s="11" t="str">
        <f t="shared" si="24"/>
        <v>Average Performer</v>
      </c>
      <c r="M151" s="11">
        <v>42</v>
      </c>
      <c r="N151" s="11" t="str">
        <f t="shared" si="25"/>
        <v>Established Professional</v>
      </c>
      <c r="O151" s="11">
        <f t="shared" si="26"/>
        <v>18</v>
      </c>
      <c r="P151" s="12">
        <v>3928403</v>
      </c>
      <c r="Q151" t="str">
        <f t="shared" si="27"/>
        <v>High</v>
      </c>
    </row>
    <row r="152" spans="1:17" ht="12.5" x14ac:dyDescent="0.25">
      <c r="A152" s="9" t="s">
        <v>169</v>
      </c>
      <c r="B152" s="9" t="s">
        <v>7</v>
      </c>
      <c r="C152" s="9" t="s">
        <v>8</v>
      </c>
      <c r="D152" s="10">
        <v>40986</v>
      </c>
      <c r="E152" s="10" t="str">
        <f t="shared" si="20"/>
        <v>2012</v>
      </c>
      <c r="F152" s="10" t="str">
        <f t="shared" si="21"/>
        <v>Mar</v>
      </c>
      <c r="G152" s="10" t="str">
        <f t="shared" si="22"/>
        <v>Q1</v>
      </c>
      <c r="H152" s="11">
        <f t="shared" ca="1" si="19"/>
        <v>13</v>
      </c>
      <c r="I152" t="str">
        <f t="shared" ca="1" si="23"/>
        <v>Senior</v>
      </c>
      <c r="J152">
        <v>3</v>
      </c>
      <c r="K152" s="11">
        <v>5</v>
      </c>
      <c r="L152" s="11" t="str">
        <f t="shared" si="24"/>
        <v>Excellent Performer</v>
      </c>
      <c r="M152" s="11">
        <v>46</v>
      </c>
      <c r="N152" s="11" t="str">
        <f t="shared" si="25"/>
        <v>Senior Professional</v>
      </c>
      <c r="O152" s="11">
        <f t="shared" si="26"/>
        <v>14</v>
      </c>
      <c r="P152" s="12">
        <v>4427886</v>
      </c>
      <c r="Q152" t="str">
        <f t="shared" si="27"/>
        <v>Very High</v>
      </c>
    </row>
    <row r="153" spans="1:17" ht="12.5" x14ac:dyDescent="0.25">
      <c r="A153" s="9" t="s">
        <v>170</v>
      </c>
      <c r="B153" s="9" t="s">
        <v>7</v>
      </c>
      <c r="C153" s="9" t="s">
        <v>8</v>
      </c>
      <c r="D153" s="10">
        <v>41430</v>
      </c>
      <c r="E153" s="10" t="str">
        <f t="shared" si="20"/>
        <v>2013</v>
      </c>
      <c r="F153" s="10" t="str">
        <f t="shared" si="21"/>
        <v>Jun</v>
      </c>
      <c r="G153" s="10" t="str">
        <f t="shared" si="22"/>
        <v>Q2</v>
      </c>
      <c r="H153" s="11">
        <f t="shared" ca="1" si="19"/>
        <v>12</v>
      </c>
      <c r="I153" t="str">
        <f t="shared" ca="1" si="23"/>
        <v>Senior</v>
      </c>
      <c r="J153">
        <v>5</v>
      </c>
      <c r="K153" s="11">
        <v>2</v>
      </c>
      <c r="L153" s="11" t="str">
        <f t="shared" si="24"/>
        <v>Fair Performer</v>
      </c>
      <c r="M153" s="11">
        <v>55</v>
      </c>
      <c r="N153" s="11" t="str">
        <f t="shared" si="25"/>
        <v>Senior Professional</v>
      </c>
      <c r="O153" s="11">
        <f t="shared" si="26"/>
        <v>5</v>
      </c>
      <c r="P153" s="12">
        <v>3130734</v>
      </c>
      <c r="Q153" t="str">
        <f t="shared" si="27"/>
        <v>High</v>
      </c>
    </row>
    <row r="154" spans="1:17" ht="12.5" x14ac:dyDescent="0.25">
      <c r="A154" s="9" t="s">
        <v>171</v>
      </c>
      <c r="B154" s="9" t="s">
        <v>7</v>
      </c>
      <c r="C154" s="9" t="s">
        <v>8</v>
      </c>
      <c r="D154" s="10">
        <v>41876</v>
      </c>
      <c r="E154" s="10" t="str">
        <f t="shared" si="20"/>
        <v>2014</v>
      </c>
      <c r="F154" s="10" t="str">
        <f t="shared" si="21"/>
        <v>Aug</v>
      </c>
      <c r="G154" s="10" t="str">
        <f t="shared" si="22"/>
        <v>Q3</v>
      </c>
      <c r="H154" s="11">
        <f t="shared" ca="1" si="19"/>
        <v>11</v>
      </c>
      <c r="I154" t="str">
        <f t="shared" ca="1" si="23"/>
        <v>Senior</v>
      </c>
      <c r="J154">
        <v>6</v>
      </c>
      <c r="K154" s="11">
        <v>3</v>
      </c>
      <c r="L154" s="11" t="str">
        <f t="shared" si="24"/>
        <v>Average Performer</v>
      </c>
      <c r="M154" s="11">
        <v>24</v>
      </c>
      <c r="N154" s="11" t="str">
        <f t="shared" si="25"/>
        <v>Young Talent</v>
      </c>
      <c r="O154" s="11">
        <f t="shared" si="26"/>
        <v>36</v>
      </c>
      <c r="P154" s="12">
        <v>1609482</v>
      </c>
      <c r="Q154" t="str">
        <f t="shared" si="27"/>
        <v>Low</v>
      </c>
    </row>
    <row r="155" spans="1:17" ht="12.5" x14ac:dyDescent="0.25">
      <c r="A155" s="9" t="s">
        <v>172</v>
      </c>
      <c r="B155" s="9" t="s">
        <v>7</v>
      </c>
      <c r="C155" s="9" t="s">
        <v>8</v>
      </c>
      <c r="D155" s="10">
        <v>42017</v>
      </c>
      <c r="E155" s="10" t="str">
        <f t="shared" si="20"/>
        <v>2015</v>
      </c>
      <c r="F155" s="10" t="str">
        <f t="shared" si="21"/>
        <v>Jan</v>
      </c>
      <c r="G155" s="10" t="str">
        <f t="shared" si="22"/>
        <v>Q1</v>
      </c>
      <c r="H155" s="11">
        <f t="shared" ca="1" si="19"/>
        <v>10</v>
      </c>
      <c r="I155" t="str">
        <f t="shared" ca="1" si="23"/>
        <v>Senior</v>
      </c>
      <c r="J155">
        <v>2</v>
      </c>
      <c r="K155" s="11">
        <v>4</v>
      </c>
      <c r="L155" s="11" t="str">
        <f t="shared" si="24"/>
        <v>Good Performer</v>
      </c>
      <c r="M155" s="11">
        <v>22</v>
      </c>
      <c r="N155" s="11" t="str">
        <f t="shared" si="25"/>
        <v>Young Talent</v>
      </c>
      <c r="O155" s="11">
        <f t="shared" si="26"/>
        <v>38</v>
      </c>
      <c r="P155" s="12">
        <v>3035256</v>
      </c>
      <c r="Q155" t="str">
        <f t="shared" si="27"/>
        <v>Medium</v>
      </c>
    </row>
    <row r="156" spans="1:17" ht="12.5" x14ac:dyDescent="0.25">
      <c r="A156" s="9" t="s">
        <v>173</v>
      </c>
      <c r="B156" s="9" t="s">
        <v>36</v>
      </c>
      <c r="C156" s="9" t="s">
        <v>37</v>
      </c>
      <c r="D156" s="10">
        <v>40817</v>
      </c>
      <c r="E156" s="10" t="str">
        <f t="shared" si="20"/>
        <v>2011</v>
      </c>
      <c r="F156" s="10" t="str">
        <f t="shared" si="21"/>
        <v>Oct</v>
      </c>
      <c r="G156" s="10" t="str">
        <f t="shared" si="22"/>
        <v>Q4</v>
      </c>
      <c r="H156" s="11">
        <f t="shared" ca="1" si="19"/>
        <v>14</v>
      </c>
      <c r="I156" t="str">
        <f t="shared" ca="1" si="23"/>
        <v>Senior</v>
      </c>
      <c r="J156">
        <v>7</v>
      </c>
      <c r="K156" s="11">
        <v>2</v>
      </c>
      <c r="L156" s="11" t="str">
        <f t="shared" si="24"/>
        <v>Fair Performer</v>
      </c>
      <c r="M156" s="11">
        <v>27</v>
      </c>
      <c r="N156" s="11" t="str">
        <f t="shared" si="25"/>
        <v>Emerging Professional</v>
      </c>
      <c r="O156" s="11">
        <f t="shared" si="26"/>
        <v>33</v>
      </c>
      <c r="P156" s="12">
        <v>441271</v>
      </c>
      <c r="Q156" t="str">
        <f t="shared" si="27"/>
        <v>Low</v>
      </c>
    </row>
    <row r="157" spans="1:17" ht="12.5" x14ac:dyDescent="0.25">
      <c r="A157" s="9" t="s">
        <v>174</v>
      </c>
      <c r="B157" s="9" t="s">
        <v>16</v>
      </c>
      <c r="C157" s="9" t="s">
        <v>17</v>
      </c>
      <c r="D157" s="10">
        <v>38411</v>
      </c>
      <c r="E157" s="10" t="str">
        <f t="shared" si="20"/>
        <v>2005</v>
      </c>
      <c r="F157" s="10" t="str">
        <f t="shared" si="21"/>
        <v>Feb</v>
      </c>
      <c r="G157" s="10" t="str">
        <f t="shared" si="22"/>
        <v>Q1</v>
      </c>
      <c r="H157" s="11">
        <f t="shared" ca="1" si="19"/>
        <v>20</v>
      </c>
      <c r="I157" t="str">
        <f t="shared" ca="1" si="23"/>
        <v>Senior</v>
      </c>
      <c r="J157">
        <v>7</v>
      </c>
      <c r="K157" s="11">
        <v>5</v>
      </c>
      <c r="L157" s="11" t="str">
        <f t="shared" si="24"/>
        <v>Excellent Performer</v>
      </c>
      <c r="M157" s="11">
        <v>21</v>
      </c>
      <c r="N157" s="11" t="str">
        <f t="shared" si="25"/>
        <v>Young Talent</v>
      </c>
      <c r="O157" s="11">
        <f t="shared" si="26"/>
        <v>39</v>
      </c>
      <c r="P157" s="12">
        <v>2604325</v>
      </c>
      <c r="Q157" t="str">
        <f t="shared" si="27"/>
        <v>Medium</v>
      </c>
    </row>
    <row r="158" spans="1:17" ht="12.5" x14ac:dyDescent="0.25">
      <c r="A158" s="9" t="s">
        <v>175</v>
      </c>
      <c r="B158" s="9" t="s">
        <v>20</v>
      </c>
      <c r="C158" s="9" t="s">
        <v>21</v>
      </c>
      <c r="D158" s="10">
        <v>44732</v>
      </c>
      <c r="E158" s="10" t="str">
        <f t="shared" si="20"/>
        <v>2022</v>
      </c>
      <c r="F158" s="10" t="str">
        <f t="shared" si="21"/>
        <v>Jun</v>
      </c>
      <c r="G158" s="10" t="str">
        <f t="shared" si="22"/>
        <v>Q2</v>
      </c>
      <c r="H158" s="11">
        <f t="shared" ca="1" si="19"/>
        <v>3</v>
      </c>
      <c r="I158" t="str">
        <f t="shared" ca="1" si="23"/>
        <v>Junior</v>
      </c>
      <c r="J158">
        <v>2</v>
      </c>
      <c r="K158" s="11">
        <v>2</v>
      </c>
      <c r="L158" s="11" t="str">
        <f t="shared" si="24"/>
        <v>Fair Performer</v>
      </c>
      <c r="M158" s="11">
        <v>32</v>
      </c>
      <c r="N158" s="11" t="str">
        <f t="shared" si="25"/>
        <v>Emerging Professional</v>
      </c>
      <c r="O158" s="11">
        <f t="shared" si="26"/>
        <v>28</v>
      </c>
      <c r="P158" s="12">
        <v>2683903</v>
      </c>
      <c r="Q158" t="str">
        <f t="shared" si="27"/>
        <v>Medium</v>
      </c>
    </row>
    <row r="159" spans="1:17" ht="12.5" x14ac:dyDescent="0.25">
      <c r="A159" s="9" t="s">
        <v>176</v>
      </c>
      <c r="B159" s="9" t="s">
        <v>4</v>
      </c>
      <c r="C159" s="9" t="s">
        <v>5</v>
      </c>
      <c r="D159" s="10">
        <v>44448</v>
      </c>
      <c r="E159" s="10" t="str">
        <f t="shared" si="20"/>
        <v>2021</v>
      </c>
      <c r="F159" s="10" t="str">
        <f t="shared" si="21"/>
        <v>Sep</v>
      </c>
      <c r="G159" s="10" t="str">
        <f t="shared" si="22"/>
        <v>Q3</v>
      </c>
      <c r="H159" s="11">
        <f t="shared" ca="1" si="19"/>
        <v>4</v>
      </c>
      <c r="I159" t="str">
        <f t="shared" ca="1" si="23"/>
        <v>Junior</v>
      </c>
      <c r="J159">
        <v>7</v>
      </c>
      <c r="K159" s="11">
        <v>1</v>
      </c>
      <c r="L159" s="11" t="str">
        <f t="shared" si="24"/>
        <v>Poor Performer</v>
      </c>
      <c r="M159" s="11">
        <v>24</v>
      </c>
      <c r="N159" s="11" t="str">
        <f t="shared" si="25"/>
        <v>Young Talent</v>
      </c>
      <c r="O159" s="11">
        <f t="shared" si="26"/>
        <v>36</v>
      </c>
      <c r="P159" s="12">
        <v>1965595</v>
      </c>
      <c r="Q159" t="str">
        <f t="shared" si="27"/>
        <v>Medium</v>
      </c>
    </row>
    <row r="160" spans="1:17" ht="12.5" x14ac:dyDescent="0.25">
      <c r="A160" s="9" t="s">
        <v>177</v>
      </c>
      <c r="B160" s="9" t="s">
        <v>10</v>
      </c>
      <c r="C160" s="9" t="s">
        <v>11</v>
      </c>
      <c r="D160" s="10">
        <v>39092</v>
      </c>
      <c r="E160" s="10" t="str">
        <f t="shared" si="20"/>
        <v>2007</v>
      </c>
      <c r="F160" s="10" t="str">
        <f t="shared" si="21"/>
        <v>Jan</v>
      </c>
      <c r="G160" s="10" t="str">
        <f t="shared" si="22"/>
        <v>Q1</v>
      </c>
      <c r="H160" s="11">
        <f t="shared" ca="1" si="19"/>
        <v>18</v>
      </c>
      <c r="I160" t="str">
        <f t="shared" ca="1" si="23"/>
        <v>Senior</v>
      </c>
      <c r="J160">
        <v>1</v>
      </c>
      <c r="K160" s="11">
        <v>2</v>
      </c>
      <c r="L160" s="11" t="str">
        <f t="shared" si="24"/>
        <v>Fair Performer</v>
      </c>
      <c r="M160" s="11">
        <v>43</v>
      </c>
      <c r="N160" s="11" t="str">
        <f t="shared" si="25"/>
        <v>Established Professional</v>
      </c>
      <c r="O160" s="11">
        <f t="shared" si="26"/>
        <v>17</v>
      </c>
      <c r="P160" s="12">
        <v>5586272</v>
      </c>
      <c r="Q160" t="str">
        <f t="shared" si="27"/>
        <v>Very High</v>
      </c>
    </row>
    <row r="161" spans="1:17" ht="12.5" x14ac:dyDescent="0.25">
      <c r="A161" s="9" t="s">
        <v>178</v>
      </c>
      <c r="B161" s="9" t="s">
        <v>36</v>
      </c>
      <c r="C161" s="9" t="s">
        <v>37</v>
      </c>
      <c r="D161" s="10">
        <v>41448</v>
      </c>
      <c r="E161" s="10" t="str">
        <f t="shared" si="20"/>
        <v>2013</v>
      </c>
      <c r="F161" s="10" t="str">
        <f t="shared" si="21"/>
        <v>Jun</v>
      </c>
      <c r="G161" s="10" t="str">
        <f t="shared" si="22"/>
        <v>Q2</v>
      </c>
      <c r="H161" s="11">
        <f t="shared" ca="1" si="19"/>
        <v>12</v>
      </c>
      <c r="I161" t="str">
        <f t="shared" ca="1" si="23"/>
        <v>Senior</v>
      </c>
      <c r="J161">
        <v>5</v>
      </c>
      <c r="K161" s="11">
        <v>4</v>
      </c>
      <c r="L161" s="11" t="str">
        <f t="shared" si="24"/>
        <v>Good Performer</v>
      </c>
      <c r="M161" s="11">
        <v>23</v>
      </c>
      <c r="N161" s="11" t="str">
        <f t="shared" si="25"/>
        <v>Young Talent</v>
      </c>
      <c r="O161" s="11">
        <f t="shared" si="26"/>
        <v>37</v>
      </c>
      <c r="P161" s="12">
        <v>4398725</v>
      </c>
      <c r="Q161" t="str">
        <f t="shared" si="27"/>
        <v>High</v>
      </c>
    </row>
    <row r="162" spans="1:17" ht="12.5" x14ac:dyDescent="0.25">
      <c r="A162" s="9" t="s">
        <v>179</v>
      </c>
      <c r="B162" s="9" t="s">
        <v>49</v>
      </c>
      <c r="C162" s="9" t="s">
        <v>50</v>
      </c>
      <c r="D162" s="10">
        <v>39257</v>
      </c>
      <c r="E162" s="10" t="str">
        <f t="shared" si="20"/>
        <v>2007</v>
      </c>
      <c r="F162" s="10" t="str">
        <f t="shared" si="21"/>
        <v>Jun</v>
      </c>
      <c r="G162" s="10" t="str">
        <f t="shared" si="22"/>
        <v>Q2</v>
      </c>
      <c r="H162" s="11">
        <f t="shared" ca="1" si="19"/>
        <v>18</v>
      </c>
      <c r="I162" t="str">
        <f t="shared" ca="1" si="23"/>
        <v>Senior</v>
      </c>
      <c r="J162">
        <v>7</v>
      </c>
      <c r="K162" s="11">
        <v>1</v>
      </c>
      <c r="L162" s="11" t="str">
        <f t="shared" si="24"/>
        <v>Poor Performer</v>
      </c>
      <c r="M162" s="11">
        <v>30</v>
      </c>
      <c r="N162" s="11" t="str">
        <f t="shared" si="25"/>
        <v>Emerging Professional</v>
      </c>
      <c r="O162" s="11">
        <f t="shared" si="26"/>
        <v>30</v>
      </c>
      <c r="P162" s="12">
        <v>1625616</v>
      </c>
      <c r="Q162" t="str">
        <f t="shared" si="27"/>
        <v>Low</v>
      </c>
    </row>
    <row r="163" spans="1:17" ht="12.5" x14ac:dyDescent="0.25">
      <c r="A163" s="9" t="s">
        <v>180</v>
      </c>
      <c r="B163" s="9" t="s">
        <v>7</v>
      </c>
      <c r="C163" s="9" t="s">
        <v>8</v>
      </c>
      <c r="D163" s="10">
        <v>43030</v>
      </c>
      <c r="E163" s="10" t="str">
        <f t="shared" si="20"/>
        <v>2017</v>
      </c>
      <c r="F163" s="10" t="str">
        <f t="shared" si="21"/>
        <v>Oct</v>
      </c>
      <c r="G163" s="10" t="str">
        <f t="shared" si="22"/>
        <v>Q4</v>
      </c>
      <c r="H163" s="11">
        <f t="shared" ca="1" si="19"/>
        <v>8</v>
      </c>
      <c r="I163" t="str">
        <f t="shared" ca="1" si="23"/>
        <v>Established</v>
      </c>
      <c r="J163">
        <v>4</v>
      </c>
      <c r="K163" s="11">
        <v>1</v>
      </c>
      <c r="L163" s="11" t="str">
        <f t="shared" si="24"/>
        <v>Poor Performer</v>
      </c>
      <c r="M163" s="11">
        <v>53</v>
      </c>
      <c r="N163" s="11" t="str">
        <f t="shared" si="25"/>
        <v>Senior Professional</v>
      </c>
      <c r="O163" s="11">
        <f t="shared" si="26"/>
        <v>7</v>
      </c>
      <c r="P163" s="12">
        <v>3179308</v>
      </c>
      <c r="Q163" t="str">
        <f t="shared" si="27"/>
        <v>High</v>
      </c>
    </row>
    <row r="164" spans="1:17" ht="12.5" x14ac:dyDescent="0.25">
      <c r="A164" s="9" t="s">
        <v>181</v>
      </c>
      <c r="B164" s="9" t="s">
        <v>20</v>
      </c>
      <c r="C164" s="9" t="s">
        <v>21</v>
      </c>
      <c r="D164" s="10">
        <v>44555</v>
      </c>
      <c r="E164" s="10" t="str">
        <f t="shared" si="20"/>
        <v>2021</v>
      </c>
      <c r="F164" s="10" t="str">
        <f t="shared" si="21"/>
        <v>Dec</v>
      </c>
      <c r="G164" s="10" t="str">
        <f t="shared" si="22"/>
        <v>Q4</v>
      </c>
      <c r="H164" s="11">
        <f t="shared" ca="1" si="19"/>
        <v>4</v>
      </c>
      <c r="I164" t="str">
        <f t="shared" ca="1" si="23"/>
        <v>Junior</v>
      </c>
      <c r="J164">
        <v>5</v>
      </c>
      <c r="K164" s="11">
        <v>4</v>
      </c>
      <c r="L164" s="11" t="str">
        <f t="shared" si="24"/>
        <v>Good Performer</v>
      </c>
      <c r="M164" s="11">
        <v>26</v>
      </c>
      <c r="N164" s="11" t="str">
        <f t="shared" si="25"/>
        <v>Emerging Professional</v>
      </c>
      <c r="O164" s="11">
        <f t="shared" si="26"/>
        <v>34</v>
      </c>
      <c r="P164" s="12">
        <v>2310096</v>
      </c>
      <c r="Q164" t="str">
        <f t="shared" si="27"/>
        <v>Medium</v>
      </c>
    </row>
    <row r="165" spans="1:17" ht="12.5" x14ac:dyDescent="0.25">
      <c r="A165" s="9" t="s">
        <v>182</v>
      </c>
      <c r="B165" s="9" t="s">
        <v>49</v>
      </c>
      <c r="C165" s="9" t="s">
        <v>50</v>
      </c>
      <c r="D165" s="10">
        <v>39321</v>
      </c>
      <c r="E165" s="10" t="str">
        <f t="shared" si="20"/>
        <v>2007</v>
      </c>
      <c r="F165" s="10" t="str">
        <f t="shared" si="21"/>
        <v>Aug</v>
      </c>
      <c r="G165" s="10" t="str">
        <f t="shared" si="22"/>
        <v>Q3</v>
      </c>
      <c r="H165" s="11">
        <f t="shared" ca="1" si="19"/>
        <v>18</v>
      </c>
      <c r="I165" t="str">
        <f t="shared" ca="1" si="23"/>
        <v>Senior</v>
      </c>
      <c r="J165">
        <v>2</v>
      </c>
      <c r="K165" s="11">
        <v>2</v>
      </c>
      <c r="L165" s="11" t="str">
        <f t="shared" si="24"/>
        <v>Fair Performer</v>
      </c>
      <c r="M165" s="11">
        <v>26</v>
      </c>
      <c r="N165" s="11" t="str">
        <f t="shared" si="25"/>
        <v>Emerging Professional</v>
      </c>
      <c r="O165" s="11">
        <f t="shared" si="26"/>
        <v>34</v>
      </c>
      <c r="P165" s="12">
        <v>1438671</v>
      </c>
      <c r="Q165" t="str">
        <f t="shared" si="27"/>
        <v>Low</v>
      </c>
    </row>
    <row r="166" spans="1:17" ht="12.5" x14ac:dyDescent="0.25">
      <c r="A166" s="9" t="s">
        <v>183</v>
      </c>
      <c r="B166" s="9" t="s">
        <v>10</v>
      </c>
      <c r="C166" s="9" t="s">
        <v>11</v>
      </c>
      <c r="D166" s="10">
        <v>43727</v>
      </c>
      <c r="E166" s="10" t="str">
        <f t="shared" si="20"/>
        <v>2019</v>
      </c>
      <c r="F166" s="10" t="str">
        <f t="shared" si="21"/>
        <v>Sep</v>
      </c>
      <c r="G166" s="10" t="str">
        <f t="shared" si="22"/>
        <v>Q3</v>
      </c>
      <c r="H166" s="11">
        <f t="shared" ca="1" si="19"/>
        <v>6</v>
      </c>
      <c r="I166" t="str">
        <f t="shared" ca="1" si="23"/>
        <v>Established</v>
      </c>
      <c r="J166">
        <v>2</v>
      </c>
      <c r="K166" s="11">
        <v>4</v>
      </c>
      <c r="L166" s="11" t="str">
        <f t="shared" si="24"/>
        <v>Good Performer</v>
      </c>
      <c r="M166" s="11">
        <v>49</v>
      </c>
      <c r="N166" s="11" t="str">
        <f t="shared" si="25"/>
        <v>Senior Professional</v>
      </c>
      <c r="O166" s="11">
        <f t="shared" si="26"/>
        <v>11</v>
      </c>
      <c r="P166" s="12">
        <v>3577478</v>
      </c>
      <c r="Q166" t="str">
        <f t="shared" si="27"/>
        <v>High</v>
      </c>
    </row>
    <row r="167" spans="1:17" ht="12.5" x14ac:dyDescent="0.25">
      <c r="A167" s="9" t="s">
        <v>184</v>
      </c>
      <c r="B167" s="9" t="s">
        <v>7</v>
      </c>
      <c r="C167" s="9" t="s">
        <v>8</v>
      </c>
      <c r="D167" s="10">
        <v>44596</v>
      </c>
      <c r="E167" s="10" t="str">
        <f t="shared" si="20"/>
        <v>2022</v>
      </c>
      <c r="F167" s="10" t="str">
        <f t="shared" si="21"/>
        <v>Feb</v>
      </c>
      <c r="G167" s="10" t="str">
        <f t="shared" si="22"/>
        <v>Q1</v>
      </c>
      <c r="H167" s="11">
        <f t="shared" ca="1" si="19"/>
        <v>3</v>
      </c>
      <c r="I167" t="str">
        <f t="shared" ca="1" si="23"/>
        <v>Junior</v>
      </c>
      <c r="J167">
        <v>3</v>
      </c>
      <c r="K167" s="11">
        <v>2</v>
      </c>
      <c r="L167" s="11" t="str">
        <f t="shared" si="24"/>
        <v>Fair Performer</v>
      </c>
      <c r="M167" s="11">
        <v>54</v>
      </c>
      <c r="N167" s="11" t="str">
        <f t="shared" si="25"/>
        <v>Senior Professional</v>
      </c>
      <c r="O167" s="11">
        <f t="shared" si="26"/>
        <v>6</v>
      </c>
      <c r="P167" s="12">
        <v>3333879</v>
      </c>
      <c r="Q167" t="str">
        <f t="shared" si="27"/>
        <v>High</v>
      </c>
    </row>
    <row r="168" spans="1:17" ht="12.5" x14ac:dyDescent="0.25">
      <c r="A168" s="9" t="s">
        <v>185</v>
      </c>
      <c r="B168" s="9" t="s">
        <v>10</v>
      </c>
      <c r="C168" s="9" t="s">
        <v>11</v>
      </c>
      <c r="D168" s="10">
        <v>45094</v>
      </c>
      <c r="E168" s="10" t="str">
        <f t="shared" si="20"/>
        <v>2023</v>
      </c>
      <c r="F168" s="10" t="str">
        <f t="shared" si="21"/>
        <v>Jun</v>
      </c>
      <c r="G168" s="10" t="str">
        <f t="shared" si="22"/>
        <v>Q2</v>
      </c>
      <c r="H168" s="11">
        <f t="shared" ca="1" si="19"/>
        <v>2</v>
      </c>
      <c r="I168" t="str">
        <f t="shared" ca="1" si="23"/>
        <v>Junior</v>
      </c>
      <c r="J168">
        <v>7</v>
      </c>
      <c r="K168" s="11">
        <v>3</v>
      </c>
      <c r="L168" s="11" t="str">
        <f t="shared" si="24"/>
        <v>Average Performer</v>
      </c>
      <c r="M168" s="11">
        <v>41</v>
      </c>
      <c r="N168" s="11" t="str">
        <f t="shared" si="25"/>
        <v>Established Professional</v>
      </c>
      <c r="O168" s="11">
        <f t="shared" si="26"/>
        <v>19</v>
      </c>
      <c r="P168" s="12">
        <v>3086412</v>
      </c>
      <c r="Q168" t="str">
        <f t="shared" si="27"/>
        <v>Medium</v>
      </c>
    </row>
    <row r="169" spans="1:17" ht="12.5" x14ac:dyDescent="0.25">
      <c r="A169" s="9" t="s">
        <v>186</v>
      </c>
      <c r="B169" s="9" t="s">
        <v>4</v>
      </c>
      <c r="C169" s="9" t="s">
        <v>5</v>
      </c>
      <c r="D169" s="10">
        <v>44654</v>
      </c>
      <c r="E169" s="10" t="str">
        <f t="shared" si="20"/>
        <v>2022</v>
      </c>
      <c r="F169" s="10" t="str">
        <f t="shared" si="21"/>
        <v>Apr</v>
      </c>
      <c r="G169" s="10" t="str">
        <f t="shared" si="22"/>
        <v>Q2</v>
      </c>
      <c r="H169" s="11">
        <f t="shared" ca="1" si="19"/>
        <v>3</v>
      </c>
      <c r="I169" t="str">
        <f t="shared" ca="1" si="23"/>
        <v>Junior</v>
      </c>
      <c r="J169">
        <v>4</v>
      </c>
      <c r="K169" s="11">
        <v>4</v>
      </c>
      <c r="L169" s="11" t="str">
        <f t="shared" si="24"/>
        <v>Good Performer</v>
      </c>
      <c r="M169" s="11">
        <v>54</v>
      </c>
      <c r="N169" s="11" t="str">
        <f t="shared" si="25"/>
        <v>Senior Professional</v>
      </c>
      <c r="O169" s="11">
        <f t="shared" si="26"/>
        <v>6</v>
      </c>
      <c r="P169" s="12">
        <v>1955015</v>
      </c>
      <c r="Q169" t="str">
        <f t="shared" si="27"/>
        <v>Low</v>
      </c>
    </row>
    <row r="170" spans="1:17" ht="12.5" x14ac:dyDescent="0.25">
      <c r="A170" s="9" t="s">
        <v>187</v>
      </c>
      <c r="B170" s="9" t="s">
        <v>16</v>
      </c>
      <c r="C170" s="9" t="s">
        <v>17</v>
      </c>
      <c r="D170" s="10">
        <v>44669</v>
      </c>
      <c r="E170" s="10" t="str">
        <f t="shared" si="20"/>
        <v>2022</v>
      </c>
      <c r="F170" s="10" t="str">
        <f t="shared" si="21"/>
        <v>Apr</v>
      </c>
      <c r="G170" s="10" t="str">
        <f t="shared" si="22"/>
        <v>Q2</v>
      </c>
      <c r="H170" s="11">
        <f t="shared" ca="1" si="19"/>
        <v>3</v>
      </c>
      <c r="I170" t="str">
        <f t="shared" ca="1" si="23"/>
        <v>Junior</v>
      </c>
      <c r="J170">
        <v>2</v>
      </c>
      <c r="K170" s="11">
        <v>1</v>
      </c>
      <c r="L170" s="11" t="str">
        <f t="shared" si="24"/>
        <v>Poor Performer</v>
      </c>
      <c r="M170" s="11">
        <v>53</v>
      </c>
      <c r="N170" s="11" t="str">
        <f t="shared" si="25"/>
        <v>Senior Professional</v>
      </c>
      <c r="O170" s="11">
        <f t="shared" si="26"/>
        <v>7</v>
      </c>
      <c r="P170" s="12">
        <v>1102503</v>
      </c>
      <c r="Q170" t="str">
        <f t="shared" si="27"/>
        <v>Low</v>
      </c>
    </row>
    <row r="171" spans="1:17" ht="12.5" x14ac:dyDescent="0.25">
      <c r="A171" s="9" t="s">
        <v>188</v>
      </c>
      <c r="B171" s="9" t="s">
        <v>10</v>
      </c>
      <c r="C171" s="9" t="s">
        <v>11</v>
      </c>
      <c r="D171" s="10">
        <v>40424</v>
      </c>
      <c r="E171" s="10" t="str">
        <f t="shared" si="20"/>
        <v>2010</v>
      </c>
      <c r="F171" s="10" t="str">
        <f t="shared" si="21"/>
        <v>Sep</v>
      </c>
      <c r="G171" s="10" t="str">
        <f t="shared" si="22"/>
        <v>Q3</v>
      </c>
      <c r="H171" s="11">
        <f t="shared" ca="1" si="19"/>
        <v>15</v>
      </c>
      <c r="I171" t="str">
        <f t="shared" ca="1" si="23"/>
        <v>Senior</v>
      </c>
      <c r="J171">
        <v>4</v>
      </c>
      <c r="K171" s="11">
        <v>4</v>
      </c>
      <c r="L171" s="11" t="str">
        <f t="shared" si="24"/>
        <v>Good Performer</v>
      </c>
      <c r="M171" s="11">
        <v>35</v>
      </c>
      <c r="N171" s="11" t="str">
        <f t="shared" si="25"/>
        <v>Established Professional</v>
      </c>
      <c r="O171" s="11">
        <f t="shared" si="26"/>
        <v>25</v>
      </c>
      <c r="P171" s="12">
        <v>1798468</v>
      </c>
      <c r="Q171" t="str">
        <f t="shared" si="27"/>
        <v>Low</v>
      </c>
    </row>
    <row r="172" spans="1:17" ht="12.5" x14ac:dyDescent="0.25">
      <c r="A172" s="9" t="s">
        <v>189</v>
      </c>
      <c r="B172" s="9" t="s">
        <v>10</v>
      </c>
      <c r="C172" s="9" t="s">
        <v>11</v>
      </c>
      <c r="D172" s="10">
        <v>44411</v>
      </c>
      <c r="E172" s="10" t="str">
        <f t="shared" si="20"/>
        <v>2021</v>
      </c>
      <c r="F172" s="10" t="str">
        <f t="shared" si="21"/>
        <v>Aug</v>
      </c>
      <c r="G172" s="10" t="str">
        <f t="shared" si="22"/>
        <v>Q3</v>
      </c>
      <c r="H172" s="11">
        <f t="shared" ca="1" si="19"/>
        <v>4</v>
      </c>
      <c r="I172" t="str">
        <f t="shared" ca="1" si="23"/>
        <v>Junior</v>
      </c>
      <c r="J172">
        <v>3</v>
      </c>
      <c r="K172" s="11">
        <v>4</v>
      </c>
      <c r="L172" s="11" t="str">
        <f t="shared" si="24"/>
        <v>Good Performer</v>
      </c>
      <c r="M172" s="11">
        <v>46</v>
      </c>
      <c r="N172" s="11" t="str">
        <f t="shared" si="25"/>
        <v>Senior Professional</v>
      </c>
      <c r="O172" s="11">
        <f t="shared" si="26"/>
        <v>14</v>
      </c>
      <c r="P172" s="12">
        <v>5643728</v>
      </c>
      <c r="Q172" t="str">
        <f t="shared" si="27"/>
        <v>Very High</v>
      </c>
    </row>
    <row r="173" spans="1:17" ht="12.5" x14ac:dyDescent="0.25">
      <c r="A173" s="9" t="s">
        <v>190</v>
      </c>
      <c r="B173" s="9" t="s">
        <v>7</v>
      </c>
      <c r="C173" s="9" t="s">
        <v>8</v>
      </c>
      <c r="D173" s="10">
        <v>38784</v>
      </c>
      <c r="E173" s="10" t="str">
        <f t="shared" si="20"/>
        <v>2006</v>
      </c>
      <c r="F173" s="10" t="str">
        <f t="shared" si="21"/>
        <v>Mar</v>
      </c>
      <c r="G173" s="10" t="str">
        <f t="shared" si="22"/>
        <v>Q1</v>
      </c>
      <c r="H173" s="11">
        <f t="shared" ca="1" si="19"/>
        <v>19</v>
      </c>
      <c r="I173" t="str">
        <f t="shared" ca="1" si="23"/>
        <v>Senior</v>
      </c>
      <c r="J173">
        <v>4</v>
      </c>
      <c r="K173" s="11">
        <v>1</v>
      </c>
      <c r="L173" s="11" t="str">
        <f t="shared" si="24"/>
        <v>Poor Performer</v>
      </c>
      <c r="M173" s="11">
        <v>44</v>
      </c>
      <c r="N173" s="11" t="str">
        <f t="shared" si="25"/>
        <v>Established Professional</v>
      </c>
      <c r="O173" s="11">
        <f t="shared" si="26"/>
        <v>16</v>
      </c>
      <c r="P173" s="12">
        <v>4923304</v>
      </c>
      <c r="Q173" t="str">
        <f t="shared" si="27"/>
        <v>Very High</v>
      </c>
    </row>
    <row r="174" spans="1:17" ht="12.5" x14ac:dyDescent="0.25">
      <c r="A174" s="9" t="s">
        <v>191</v>
      </c>
      <c r="B174" s="9" t="s">
        <v>10</v>
      </c>
      <c r="C174" s="9" t="s">
        <v>11</v>
      </c>
      <c r="D174" s="10">
        <v>42291</v>
      </c>
      <c r="E174" s="10" t="str">
        <f t="shared" si="20"/>
        <v>2015</v>
      </c>
      <c r="F174" s="10" t="str">
        <f t="shared" si="21"/>
        <v>Oct</v>
      </c>
      <c r="G174" s="10" t="str">
        <f t="shared" si="22"/>
        <v>Q4</v>
      </c>
      <c r="H174" s="11">
        <f t="shared" ca="1" si="19"/>
        <v>10</v>
      </c>
      <c r="I174" t="str">
        <f t="shared" ca="1" si="23"/>
        <v>Senior</v>
      </c>
      <c r="J174">
        <v>5</v>
      </c>
      <c r="K174" s="11">
        <v>2</v>
      </c>
      <c r="L174" s="11" t="str">
        <f t="shared" si="24"/>
        <v>Fair Performer</v>
      </c>
      <c r="M174" s="11">
        <v>32</v>
      </c>
      <c r="N174" s="11" t="str">
        <f t="shared" si="25"/>
        <v>Emerging Professional</v>
      </c>
      <c r="O174" s="11">
        <f t="shared" si="26"/>
        <v>28</v>
      </c>
      <c r="P174" s="12">
        <v>5424925</v>
      </c>
      <c r="Q174" t="str">
        <f t="shared" si="27"/>
        <v>Very High</v>
      </c>
    </row>
    <row r="175" spans="1:17" ht="12.5" x14ac:dyDescent="0.25">
      <c r="A175" s="9" t="s">
        <v>192</v>
      </c>
      <c r="B175" s="9" t="s">
        <v>13</v>
      </c>
      <c r="C175" s="9" t="s">
        <v>14</v>
      </c>
      <c r="D175" s="10">
        <v>42579</v>
      </c>
      <c r="E175" s="10" t="str">
        <f t="shared" si="20"/>
        <v>2016</v>
      </c>
      <c r="F175" s="10" t="str">
        <f t="shared" si="21"/>
        <v>Jul</v>
      </c>
      <c r="G175" s="10" t="str">
        <f t="shared" si="22"/>
        <v>Q3</v>
      </c>
      <c r="H175" s="11">
        <f t="shared" ca="1" si="19"/>
        <v>9</v>
      </c>
      <c r="I175" t="str">
        <f t="shared" ca="1" si="23"/>
        <v>Established</v>
      </c>
      <c r="J175">
        <v>4</v>
      </c>
      <c r="K175" s="11">
        <v>5</v>
      </c>
      <c r="L175" s="11" t="str">
        <f t="shared" si="24"/>
        <v>Excellent Performer</v>
      </c>
      <c r="M175" s="11">
        <v>19</v>
      </c>
      <c r="N175" s="11" t="str">
        <f t="shared" si="25"/>
        <v>Young Talent</v>
      </c>
      <c r="O175" s="11">
        <f t="shared" si="26"/>
        <v>41</v>
      </c>
      <c r="P175" s="12">
        <v>3840646</v>
      </c>
      <c r="Q175" t="str">
        <f t="shared" si="27"/>
        <v>High</v>
      </c>
    </row>
    <row r="176" spans="1:17" ht="12.5" x14ac:dyDescent="0.25">
      <c r="A176" s="9" t="s">
        <v>193</v>
      </c>
      <c r="B176" s="9" t="s">
        <v>7</v>
      </c>
      <c r="C176" s="9" t="s">
        <v>8</v>
      </c>
      <c r="D176" s="10">
        <v>41473</v>
      </c>
      <c r="E176" s="10" t="str">
        <f t="shared" si="20"/>
        <v>2013</v>
      </c>
      <c r="F176" s="10" t="str">
        <f t="shared" si="21"/>
        <v>Jul</v>
      </c>
      <c r="G176" s="10" t="str">
        <f t="shared" si="22"/>
        <v>Q3</v>
      </c>
      <c r="H176" s="11">
        <f t="shared" ca="1" si="19"/>
        <v>12</v>
      </c>
      <c r="I176" t="str">
        <f t="shared" ca="1" si="23"/>
        <v>Senior</v>
      </c>
      <c r="J176">
        <v>3</v>
      </c>
      <c r="K176" s="11">
        <v>5</v>
      </c>
      <c r="L176" s="11" t="str">
        <f t="shared" si="24"/>
        <v>Excellent Performer</v>
      </c>
      <c r="M176" s="11">
        <v>45</v>
      </c>
      <c r="N176" s="11" t="str">
        <f t="shared" si="25"/>
        <v>Senior Professional</v>
      </c>
      <c r="O176" s="11">
        <f t="shared" si="26"/>
        <v>15</v>
      </c>
      <c r="P176" s="12">
        <v>2438162</v>
      </c>
      <c r="Q176" t="str">
        <f t="shared" si="27"/>
        <v>Medium</v>
      </c>
    </row>
    <row r="177" spans="1:17" ht="12.5" x14ac:dyDescent="0.25">
      <c r="A177" s="9" t="s">
        <v>194</v>
      </c>
      <c r="B177" s="9" t="s">
        <v>7</v>
      </c>
      <c r="C177" s="9" t="s">
        <v>8</v>
      </c>
      <c r="D177" s="10">
        <v>41840</v>
      </c>
      <c r="E177" s="10" t="str">
        <f t="shared" si="20"/>
        <v>2014</v>
      </c>
      <c r="F177" s="10" t="str">
        <f t="shared" si="21"/>
        <v>Jul</v>
      </c>
      <c r="G177" s="10" t="str">
        <f t="shared" si="22"/>
        <v>Q3</v>
      </c>
      <c r="H177" s="11">
        <f t="shared" ca="1" si="19"/>
        <v>11</v>
      </c>
      <c r="I177" t="str">
        <f t="shared" ca="1" si="23"/>
        <v>Senior</v>
      </c>
      <c r="J177">
        <v>5</v>
      </c>
      <c r="K177" s="11">
        <v>5</v>
      </c>
      <c r="L177" s="11" t="str">
        <f t="shared" si="24"/>
        <v>Excellent Performer</v>
      </c>
      <c r="M177" s="11">
        <v>56</v>
      </c>
      <c r="N177" s="11" t="str">
        <f t="shared" si="25"/>
        <v>Senior Professional</v>
      </c>
      <c r="O177" s="11">
        <f t="shared" si="26"/>
        <v>4</v>
      </c>
      <c r="P177" s="12">
        <v>1898397</v>
      </c>
      <c r="Q177" t="str">
        <f t="shared" si="27"/>
        <v>Low</v>
      </c>
    </row>
    <row r="178" spans="1:17" ht="12.5" x14ac:dyDescent="0.25">
      <c r="A178" s="9" t="s">
        <v>195</v>
      </c>
      <c r="B178" s="9" t="s">
        <v>20</v>
      </c>
      <c r="C178" s="9" t="s">
        <v>21</v>
      </c>
      <c r="D178" s="10">
        <v>40661</v>
      </c>
      <c r="E178" s="10" t="str">
        <f t="shared" si="20"/>
        <v>2011</v>
      </c>
      <c r="F178" s="10" t="str">
        <f t="shared" si="21"/>
        <v>Apr</v>
      </c>
      <c r="G178" s="10" t="str">
        <f t="shared" si="22"/>
        <v>Q2</v>
      </c>
      <c r="H178" s="11">
        <f t="shared" ca="1" si="19"/>
        <v>14</v>
      </c>
      <c r="I178" t="str">
        <f t="shared" ca="1" si="23"/>
        <v>Senior</v>
      </c>
      <c r="J178">
        <v>7</v>
      </c>
      <c r="K178" s="11">
        <v>2</v>
      </c>
      <c r="L178" s="11" t="str">
        <f t="shared" si="24"/>
        <v>Fair Performer</v>
      </c>
      <c r="M178" s="11">
        <v>51</v>
      </c>
      <c r="N178" s="11" t="str">
        <f t="shared" si="25"/>
        <v>Senior Professional</v>
      </c>
      <c r="O178" s="11">
        <f t="shared" si="26"/>
        <v>9</v>
      </c>
      <c r="P178" s="12">
        <v>3874197</v>
      </c>
      <c r="Q178" t="str">
        <f t="shared" si="27"/>
        <v>High</v>
      </c>
    </row>
    <row r="179" spans="1:17" ht="12.5" x14ac:dyDescent="0.25">
      <c r="A179" s="9" t="s">
        <v>196</v>
      </c>
      <c r="B179" s="9" t="s">
        <v>4</v>
      </c>
      <c r="C179" s="9" t="s">
        <v>5</v>
      </c>
      <c r="D179" s="10">
        <v>42526</v>
      </c>
      <c r="E179" s="10" t="str">
        <f t="shared" si="20"/>
        <v>2016</v>
      </c>
      <c r="F179" s="10" t="str">
        <f t="shared" si="21"/>
        <v>Jun</v>
      </c>
      <c r="G179" s="10" t="str">
        <f t="shared" si="22"/>
        <v>Q2</v>
      </c>
      <c r="H179" s="11">
        <f t="shared" ca="1" si="19"/>
        <v>9</v>
      </c>
      <c r="I179" t="str">
        <f t="shared" ca="1" si="23"/>
        <v>Established</v>
      </c>
      <c r="J179">
        <v>5</v>
      </c>
      <c r="K179" s="11">
        <v>2</v>
      </c>
      <c r="L179" s="11" t="str">
        <f t="shared" si="24"/>
        <v>Fair Performer</v>
      </c>
      <c r="M179" s="11">
        <v>55</v>
      </c>
      <c r="N179" s="11" t="str">
        <f t="shared" si="25"/>
        <v>Senior Professional</v>
      </c>
      <c r="O179" s="11">
        <f t="shared" si="26"/>
        <v>5</v>
      </c>
      <c r="P179" s="12">
        <v>2719555</v>
      </c>
      <c r="Q179" t="str">
        <f t="shared" si="27"/>
        <v>Medium</v>
      </c>
    </row>
    <row r="180" spans="1:17" ht="12.5" x14ac:dyDescent="0.25">
      <c r="A180" s="9" t="s">
        <v>197</v>
      </c>
      <c r="B180" s="9" t="s">
        <v>36</v>
      </c>
      <c r="C180" s="9" t="s">
        <v>37</v>
      </c>
      <c r="D180" s="10">
        <v>43460</v>
      </c>
      <c r="E180" s="10" t="str">
        <f t="shared" si="20"/>
        <v>2018</v>
      </c>
      <c r="F180" s="10" t="str">
        <f t="shared" si="21"/>
        <v>Dec</v>
      </c>
      <c r="G180" s="10" t="str">
        <f t="shared" si="22"/>
        <v>Q4</v>
      </c>
      <c r="H180" s="11">
        <f t="shared" ca="1" si="19"/>
        <v>7</v>
      </c>
      <c r="I180" t="str">
        <f t="shared" ca="1" si="23"/>
        <v>Established</v>
      </c>
      <c r="J180">
        <v>4</v>
      </c>
      <c r="K180" s="11">
        <v>2</v>
      </c>
      <c r="L180" s="11" t="str">
        <f t="shared" si="24"/>
        <v>Fair Performer</v>
      </c>
      <c r="M180" s="11">
        <v>50</v>
      </c>
      <c r="N180" s="11" t="str">
        <f t="shared" si="25"/>
        <v>Senior Professional</v>
      </c>
      <c r="O180" s="11">
        <f t="shared" si="26"/>
        <v>10</v>
      </c>
      <c r="P180" s="12">
        <v>4481857</v>
      </c>
      <c r="Q180" t="str">
        <f t="shared" si="27"/>
        <v>Very High</v>
      </c>
    </row>
    <row r="181" spans="1:17" ht="12.5" x14ac:dyDescent="0.25">
      <c r="A181" s="9" t="s">
        <v>198</v>
      </c>
      <c r="B181" s="9" t="s">
        <v>13</v>
      </c>
      <c r="C181" s="9" t="s">
        <v>14</v>
      </c>
      <c r="D181" s="10">
        <v>40738</v>
      </c>
      <c r="E181" s="10" t="str">
        <f t="shared" si="20"/>
        <v>2011</v>
      </c>
      <c r="F181" s="10" t="str">
        <f t="shared" si="21"/>
        <v>Jul</v>
      </c>
      <c r="G181" s="10" t="str">
        <f t="shared" si="22"/>
        <v>Q3</v>
      </c>
      <c r="H181" s="11">
        <f t="shared" ca="1" si="19"/>
        <v>14</v>
      </c>
      <c r="I181" t="str">
        <f t="shared" ca="1" si="23"/>
        <v>Senior</v>
      </c>
      <c r="J181">
        <v>3</v>
      </c>
      <c r="K181" s="11">
        <v>2</v>
      </c>
      <c r="L181" s="11" t="str">
        <f t="shared" si="24"/>
        <v>Fair Performer</v>
      </c>
      <c r="M181" s="11">
        <v>38</v>
      </c>
      <c r="N181" s="11" t="str">
        <f t="shared" si="25"/>
        <v>Established Professional</v>
      </c>
      <c r="O181" s="11">
        <f t="shared" si="26"/>
        <v>22</v>
      </c>
      <c r="P181" s="12">
        <v>3716344</v>
      </c>
      <c r="Q181" t="str">
        <f t="shared" si="27"/>
        <v>High</v>
      </c>
    </row>
    <row r="182" spans="1:17" ht="12.5" x14ac:dyDescent="0.25">
      <c r="A182" s="9" t="s">
        <v>199</v>
      </c>
      <c r="B182" s="9" t="s">
        <v>7</v>
      </c>
      <c r="C182" s="9" t="s">
        <v>8</v>
      </c>
      <c r="D182" s="10">
        <v>39194</v>
      </c>
      <c r="E182" s="10" t="str">
        <f t="shared" si="20"/>
        <v>2007</v>
      </c>
      <c r="F182" s="10" t="str">
        <f t="shared" si="21"/>
        <v>Apr</v>
      </c>
      <c r="G182" s="10" t="str">
        <f t="shared" si="22"/>
        <v>Q2</v>
      </c>
      <c r="H182" s="11">
        <f t="shared" ca="1" si="19"/>
        <v>18</v>
      </c>
      <c r="I182" t="str">
        <f t="shared" ca="1" si="23"/>
        <v>Senior</v>
      </c>
      <c r="J182">
        <v>4</v>
      </c>
      <c r="K182" s="11">
        <v>5</v>
      </c>
      <c r="L182" s="11" t="str">
        <f t="shared" si="24"/>
        <v>Excellent Performer</v>
      </c>
      <c r="M182" s="11">
        <v>32</v>
      </c>
      <c r="N182" s="11" t="str">
        <f t="shared" si="25"/>
        <v>Emerging Professional</v>
      </c>
      <c r="O182" s="11">
        <f t="shared" si="26"/>
        <v>28</v>
      </c>
      <c r="P182" s="12">
        <v>430120</v>
      </c>
      <c r="Q182" t="str">
        <f t="shared" si="27"/>
        <v>Low</v>
      </c>
    </row>
    <row r="183" spans="1:17" ht="12.5" x14ac:dyDescent="0.25">
      <c r="A183" s="9" t="s">
        <v>200</v>
      </c>
      <c r="B183" s="9" t="s">
        <v>16</v>
      </c>
      <c r="C183" s="9" t="s">
        <v>17</v>
      </c>
      <c r="D183" s="10">
        <v>42788</v>
      </c>
      <c r="E183" s="10" t="str">
        <f t="shared" si="20"/>
        <v>2017</v>
      </c>
      <c r="F183" s="10" t="str">
        <f t="shared" si="21"/>
        <v>Feb</v>
      </c>
      <c r="G183" s="10" t="str">
        <f t="shared" si="22"/>
        <v>Q1</v>
      </c>
      <c r="H183" s="11">
        <f t="shared" ca="1" si="19"/>
        <v>8</v>
      </c>
      <c r="I183" t="str">
        <f t="shared" ca="1" si="23"/>
        <v>Established</v>
      </c>
      <c r="J183">
        <v>2</v>
      </c>
      <c r="K183" s="11">
        <v>3</v>
      </c>
      <c r="L183" s="11" t="str">
        <f t="shared" si="24"/>
        <v>Average Performer</v>
      </c>
      <c r="M183" s="11">
        <v>35</v>
      </c>
      <c r="N183" s="11" t="str">
        <f t="shared" si="25"/>
        <v>Established Professional</v>
      </c>
      <c r="O183" s="11">
        <f t="shared" si="26"/>
        <v>25</v>
      </c>
      <c r="P183" s="12">
        <v>5283842</v>
      </c>
      <c r="Q183" t="str">
        <f t="shared" si="27"/>
        <v>Very High</v>
      </c>
    </row>
    <row r="184" spans="1:17" ht="12.5" x14ac:dyDescent="0.25">
      <c r="A184" s="9" t="s">
        <v>201</v>
      </c>
      <c r="B184" s="9" t="s">
        <v>13</v>
      </c>
      <c r="C184" s="9" t="s">
        <v>14</v>
      </c>
      <c r="D184" s="10">
        <v>42331</v>
      </c>
      <c r="E184" s="10" t="str">
        <f t="shared" si="20"/>
        <v>2015</v>
      </c>
      <c r="F184" s="10" t="str">
        <f t="shared" si="21"/>
        <v>Nov</v>
      </c>
      <c r="G184" s="10" t="str">
        <f t="shared" si="22"/>
        <v>Q4</v>
      </c>
      <c r="H184" s="11">
        <f t="shared" ca="1" si="19"/>
        <v>10</v>
      </c>
      <c r="I184" t="str">
        <f t="shared" ca="1" si="23"/>
        <v>Senior</v>
      </c>
      <c r="J184">
        <v>5</v>
      </c>
      <c r="K184" s="11">
        <v>2</v>
      </c>
      <c r="L184" s="11" t="str">
        <f t="shared" si="24"/>
        <v>Fair Performer</v>
      </c>
      <c r="M184" s="11">
        <v>43</v>
      </c>
      <c r="N184" s="11" t="str">
        <f t="shared" si="25"/>
        <v>Established Professional</v>
      </c>
      <c r="O184" s="11">
        <f t="shared" si="26"/>
        <v>17</v>
      </c>
      <c r="P184" s="12">
        <v>869690</v>
      </c>
      <c r="Q184" t="str">
        <f t="shared" si="27"/>
        <v>Low</v>
      </c>
    </row>
    <row r="185" spans="1:17" ht="12.5" x14ac:dyDescent="0.25">
      <c r="A185" s="9" t="s">
        <v>202</v>
      </c>
      <c r="B185" s="9" t="s">
        <v>7</v>
      </c>
      <c r="C185" s="9" t="s">
        <v>8</v>
      </c>
      <c r="D185" s="10">
        <v>43611</v>
      </c>
      <c r="E185" s="10" t="str">
        <f t="shared" si="20"/>
        <v>2019</v>
      </c>
      <c r="F185" s="10" t="str">
        <f t="shared" si="21"/>
        <v>May</v>
      </c>
      <c r="G185" s="10" t="str">
        <f t="shared" si="22"/>
        <v>Q2</v>
      </c>
      <c r="H185" s="11">
        <f t="shared" ca="1" si="19"/>
        <v>6</v>
      </c>
      <c r="I185" t="str">
        <f t="shared" ca="1" si="23"/>
        <v>Established</v>
      </c>
      <c r="J185">
        <v>6</v>
      </c>
      <c r="K185" s="11">
        <v>4</v>
      </c>
      <c r="L185" s="11" t="str">
        <f t="shared" si="24"/>
        <v>Good Performer</v>
      </c>
      <c r="M185" s="11">
        <v>37</v>
      </c>
      <c r="N185" s="11" t="str">
        <f t="shared" si="25"/>
        <v>Established Professional</v>
      </c>
      <c r="O185" s="11">
        <f t="shared" si="26"/>
        <v>23</v>
      </c>
      <c r="P185" s="12">
        <v>2216623</v>
      </c>
      <c r="Q185" t="str">
        <f t="shared" si="27"/>
        <v>Medium</v>
      </c>
    </row>
    <row r="186" spans="1:17" ht="12.5" x14ac:dyDescent="0.25">
      <c r="A186" s="9" t="s">
        <v>203</v>
      </c>
      <c r="B186" s="9" t="s">
        <v>7</v>
      </c>
      <c r="C186" s="9" t="s">
        <v>8</v>
      </c>
      <c r="D186" s="10">
        <v>39938</v>
      </c>
      <c r="E186" s="10" t="str">
        <f t="shared" si="20"/>
        <v>2009</v>
      </c>
      <c r="F186" s="10" t="str">
        <f t="shared" si="21"/>
        <v>May</v>
      </c>
      <c r="G186" s="10" t="str">
        <f t="shared" si="22"/>
        <v>Q2</v>
      </c>
      <c r="H186" s="11">
        <f t="shared" ca="1" si="19"/>
        <v>16</v>
      </c>
      <c r="I186" t="str">
        <f t="shared" ca="1" si="23"/>
        <v>Senior</v>
      </c>
      <c r="J186">
        <v>4</v>
      </c>
      <c r="K186" s="11">
        <v>3</v>
      </c>
      <c r="L186" s="11" t="str">
        <f t="shared" si="24"/>
        <v>Average Performer</v>
      </c>
      <c r="M186" s="11">
        <v>43</v>
      </c>
      <c r="N186" s="11" t="str">
        <f t="shared" si="25"/>
        <v>Established Professional</v>
      </c>
      <c r="O186" s="11">
        <f t="shared" si="26"/>
        <v>17</v>
      </c>
      <c r="P186" s="12">
        <v>3528712</v>
      </c>
      <c r="Q186" t="str">
        <f t="shared" si="27"/>
        <v>High</v>
      </c>
    </row>
    <row r="187" spans="1:17" ht="12.5" x14ac:dyDescent="0.25">
      <c r="A187" s="9" t="s">
        <v>204</v>
      </c>
      <c r="B187" s="9" t="s">
        <v>10</v>
      </c>
      <c r="C187" s="9" t="s">
        <v>11</v>
      </c>
      <c r="D187" s="10">
        <v>39285</v>
      </c>
      <c r="E187" s="10" t="str">
        <f t="shared" si="20"/>
        <v>2007</v>
      </c>
      <c r="F187" s="10" t="str">
        <f t="shared" si="21"/>
        <v>Jul</v>
      </c>
      <c r="G187" s="10" t="str">
        <f t="shared" si="22"/>
        <v>Q3</v>
      </c>
      <c r="H187" s="11">
        <f t="shared" ca="1" si="19"/>
        <v>18</v>
      </c>
      <c r="I187" t="str">
        <f t="shared" ca="1" si="23"/>
        <v>Senior</v>
      </c>
      <c r="J187">
        <v>6</v>
      </c>
      <c r="K187" s="11">
        <v>1</v>
      </c>
      <c r="L187" s="11" t="str">
        <f t="shared" si="24"/>
        <v>Poor Performer</v>
      </c>
      <c r="M187" s="11">
        <v>56</v>
      </c>
      <c r="N187" s="11" t="str">
        <f t="shared" si="25"/>
        <v>Senior Professional</v>
      </c>
      <c r="O187" s="11">
        <f t="shared" si="26"/>
        <v>4</v>
      </c>
      <c r="P187" s="12">
        <v>4244791</v>
      </c>
      <c r="Q187" t="str">
        <f t="shared" si="27"/>
        <v>High</v>
      </c>
    </row>
    <row r="188" spans="1:17" ht="12.5" x14ac:dyDescent="0.25">
      <c r="A188" s="9" t="s">
        <v>205</v>
      </c>
      <c r="B188" s="9" t="s">
        <v>20</v>
      </c>
      <c r="C188" s="9" t="s">
        <v>21</v>
      </c>
      <c r="D188" s="10">
        <v>39057</v>
      </c>
      <c r="E188" s="10" t="str">
        <f t="shared" si="20"/>
        <v>2006</v>
      </c>
      <c r="F188" s="10" t="str">
        <f t="shared" si="21"/>
        <v>Dec</v>
      </c>
      <c r="G188" s="10" t="str">
        <f t="shared" si="22"/>
        <v>Q4</v>
      </c>
      <c r="H188" s="11">
        <f t="shared" ca="1" si="19"/>
        <v>19</v>
      </c>
      <c r="I188" t="str">
        <f t="shared" ca="1" si="23"/>
        <v>Senior</v>
      </c>
      <c r="J188">
        <v>7</v>
      </c>
      <c r="K188" s="11">
        <v>3</v>
      </c>
      <c r="L188" s="11" t="str">
        <f t="shared" si="24"/>
        <v>Average Performer</v>
      </c>
      <c r="M188" s="11">
        <v>20</v>
      </c>
      <c r="N188" s="11" t="str">
        <f t="shared" si="25"/>
        <v>Young Talent</v>
      </c>
      <c r="O188" s="11">
        <f t="shared" si="26"/>
        <v>40</v>
      </c>
      <c r="P188" s="12">
        <v>3105342</v>
      </c>
      <c r="Q188" t="str">
        <f t="shared" si="27"/>
        <v>Medium</v>
      </c>
    </row>
    <row r="189" spans="1:17" ht="12.5" x14ac:dyDescent="0.25">
      <c r="A189" s="9" t="s">
        <v>206</v>
      </c>
      <c r="B189" s="9" t="s">
        <v>49</v>
      </c>
      <c r="C189" s="9" t="s">
        <v>50</v>
      </c>
      <c r="D189" s="10">
        <v>42945</v>
      </c>
      <c r="E189" s="10" t="str">
        <f t="shared" si="20"/>
        <v>2017</v>
      </c>
      <c r="F189" s="10" t="str">
        <f t="shared" si="21"/>
        <v>Jul</v>
      </c>
      <c r="G189" s="10" t="str">
        <f t="shared" si="22"/>
        <v>Q3</v>
      </c>
      <c r="H189" s="11">
        <f t="shared" ca="1" si="19"/>
        <v>8</v>
      </c>
      <c r="I189" t="str">
        <f t="shared" ca="1" si="23"/>
        <v>Established</v>
      </c>
      <c r="J189">
        <v>3</v>
      </c>
      <c r="K189" s="11">
        <v>3</v>
      </c>
      <c r="L189" s="11" t="str">
        <f t="shared" si="24"/>
        <v>Average Performer</v>
      </c>
      <c r="M189" s="11">
        <v>48</v>
      </c>
      <c r="N189" s="11" t="str">
        <f t="shared" si="25"/>
        <v>Senior Professional</v>
      </c>
      <c r="O189" s="11">
        <f t="shared" si="26"/>
        <v>12</v>
      </c>
      <c r="P189" s="12">
        <v>3948880</v>
      </c>
      <c r="Q189" t="str">
        <f t="shared" si="27"/>
        <v>High</v>
      </c>
    </row>
    <row r="190" spans="1:17" ht="12.5" x14ac:dyDescent="0.25">
      <c r="A190" s="9" t="s">
        <v>207</v>
      </c>
      <c r="B190" s="9" t="s">
        <v>13</v>
      </c>
      <c r="C190" s="9" t="s">
        <v>14</v>
      </c>
      <c r="D190" s="10">
        <v>43012</v>
      </c>
      <c r="E190" s="10" t="str">
        <f t="shared" si="20"/>
        <v>2017</v>
      </c>
      <c r="F190" s="10" t="str">
        <f t="shared" si="21"/>
        <v>Oct</v>
      </c>
      <c r="G190" s="10" t="str">
        <f t="shared" si="22"/>
        <v>Q4</v>
      </c>
      <c r="H190" s="11">
        <f t="shared" ca="1" si="19"/>
        <v>8</v>
      </c>
      <c r="I190" t="str">
        <f t="shared" ca="1" si="23"/>
        <v>Established</v>
      </c>
      <c r="J190">
        <v>3</v>
      </c>
      <c r="K190" s="11">
        <v>5</v>
      </c>
      <c r="L190" s="11" t="str">
        <f t="shared" si="24"/>
        <v>Excellent Performer</v>
      </c>
      <c r="M190" s="11">
        <v>23</v>
      </c>
      <c r="N190" s="11" t="str">
        <f t="shared" si="25"/>
        <v>Young Talent</v>
      </c>
      <c r="O190" s="11">
        <f t="shared" si="26"/>
        <v>37</v>
      </c>
      <c r="P190" s="12">
        <v>4996750</v>
      </c>
      <c r="Q190" t="str">
        <f t="shared" si="27"/>
        <v>Very High</v>
      </c>
    </row>
    <row r="191" spans="1:17" ht="12.5" x14ac:dyDescent="0.25">
      <c r="A191" s="9" t="s">
        <v>208</v>
      </c>
      <c r="B191" s="9" t="s">
        <v>20</v>
      </c>
      <c r="C191" s="9" t="s">
        <v>21</v>
      </c>
      <c r="D191" s="10">
        <v>43006</v>
      </c>
      <c r="E191" s="10" t="str">
        <f t="shared" si="20"/>
        <v>2017</v>
      </c>
      <c r="F191" s="10" t="str">
        <f t="shared" si="21"/>
        <v>Sep</v>
      </c>
      <c r="G191" s="10" t="str">
        <f t="shared" si="22"/>
        <v>Q3</v>
      </c>
      <c r="H191" s="11">
        <f t="shared" ca="1" si="19"/>
        <v>8</v>
      </c>
      <c r="I191" t="str">
        <f t="shared" ca="1" si="23"/>
        <v>Established</v>
      </c>
      <c r="J191">
        <v>1</v>
      </c>
      <c r="K191" s="11">
        <v>2</v>
      </c>
      <c r="L191" s="11" t="str">
        <f t="shared" si="24"/>
        <v>Fair Performer</v>
      </c>
      <c r="M191" s="11">
        <v>56</v>
      </c>
      <c r="N191" s="11" t="str">
        <f t="shared" si="25"/>
        <v>Senior Professional</v>
      </c>
      <c r="O191" s="11">
        <f t="shared" si="26"/>
        <v>4</v>
      </c>
      <c r="P191" s="12">
        <v>2502626</v>
      </c>
      <c r="Q191" t="str">
        <f t="shared" si="27"/>
        <v>Medium</v>
      </c>
    </row>
    <row r="192" spans="1:17" ht="12.5" x14ac:dyDescent="0.25">
      <c r="A192" s="9" t="s">
        <v>209</v>
      </c>
      <c r="B192" s="9" t="s">
        <v>49</v>
      </c>
      <c r="C192" s="9" t="s">
        <v>50</v>
      </c>
      <c r="D192" s="10">
        <v>44669</v>
      </c>
      <c r="E192" s="10" t="str">
        <f t="shared" si="20"/>
        <v>2022</v>
      </c>
      <c r="F192" s="10" t="str">
        <f t="shared" si="21"/>
        <v>Apr</v>
      </c>
      <c r="G192" s="10" t="str">
        <f t="shared" si="22"/>
        <v>Q2</v>
      </c>
      <c r="H192" s="11">
        <f t="shared" ca="1" si="19"/>
        <v>3</v>
      </c>
      <c r="I192" t="str">
        <f t="shared" ca="1" si="23"/>
        <v>Junior</v>
      </c>
      <c r="J192">
        <v>5</v>
      </c>
      <c r="K192" s="11">
        <v>2</v>
      </c>
      <c r="L192" s="11" t="str">
        <f t="shared" si="24"/>
        <v>Fair Performer</v>
      </c>
      <c r="M192" s="11">
        <v>24</v>
      </c>
      <c r="N192" s="11" t="str">
        <f t="shared" si="25"/>
        <v>Young Talent</v>
      </c>
      <c r="O192" s="11">
        <f t="shared" si="26"/>
        <v>36</v>
      </c>
      <c r="P192" s="12">
        <v>516249</v>
      </c>
      <c r="Q192" t="str">
        <f t="shared" si="27"/>
        <v>Low</v>
      </c>
    </row>
    <row r="193" spans="1:17" ht="12.5" x14ac:dyDescent="0.25">
      <c r="A193" s="9" t="s">
        <v>210</v>
      </c>
      <c r="B193" s="9" t="s">
        <v>36</v>
      </c>
      <c r="C193" s="9" t="s">
        <v>37</v>
      </c>
      <c r="D193" s="10">
        <v>38050</v>
      </c>
      <c r="E193" s="10" t="str">
        <f t="shared" si="20"/>
        <v>2004</v>
      </c>
      <c r="F193" s="10" t="str">
        <f t="shared" si="21"/>
        <v>Mar</v>
      </c>
      <c r="G193" s="10" t="str">
        <f t="shared" si="22"/>
        <v>Q1</v>
      </c>
      <c r="H193" s="11">
        <f t="shared" ca="1" si="19"/>
        <v>21</v>
      </c>
      <c r="I193" t="str">
        <f t="shared" ca="1" si="23"/>
        <v>Senior</v>
      </c>
      <c r="J193">
        <v>4</v>
      </c>
      <c r="K193" s="11">
        <v>4</v>
      </c>
      <c r="L193" s="11" t="str">
        <f t="shared" si="24"/>
        <v>Good Performer</v>
      </c>
      <c r="M193" s="11">
        <v>27</v>
      </c>
      <c r="N193" s="11" t="str">
        <f t="shared" si="25"/>
        <v>Emerging Professional</v>
      </c>
      <c r="O193" s="11">
        <f t="shared" si="26"/>
        <v>33</v>
      </c>
      <c r="P193" s="12">
        <v>2632041</v>
      </c>
      <c r="Q193" t="str">
        <f t="shared" si="27"/>
        <v>Medium</v>
      </c>
    </row>
    <row r="194" spans="1:17" ht="12.5" x14ac:dyDescent="0.25">
      <c r="A194" s="9" t="s">
        <v>211</v>
      </c>
      <c r="B194" s="9" t="s">
        <v>4</v>
      </c>
      <c r="C194" s="9" t="s">
        <v>5</v>
      </c>
      <c r="D194" s="10">
        <v>45280</v>
      </c>
      <c r="E194" s="10" t="str">
        <f t="shared" si="20"/>
        <v>2023</v>
      </c>
      <c r="F194" s="10" t="str">
        <f t="shared" si="21"/>
        <v>Dec</v>
      </c>
      <c r="G194" s="10" t="str">
        <f t="shared" si="22"/>
        <v>Q4</v>
      </c>
      <c r="H194" s="11">
        <f t="shared" ref="H194:H257" ca="1" si="28">TEXT(TODAY(), "YYYY")-TEXT(D194, "YYYY")</f>
        <v>2</v>
      </c>
      <c r="I194" t="str">
        <f t="shared" ca="1" si="23"/>
        <v>Junior</v>
      </c>
      <c r="J194">
        <v>2</v>
      </c>
      <c r="K194" s="11">
        <v>5</v>
      </c>
      <c r="L194" s="11" t="str">
        <f t="shared" si="24"/>
        <v>Excellent Performer</v>
      </c>
      <c r="M194" s="11">
        <v>53</v>
      </c>
      <c r="N194" s="11" t="str">
        <f t="shared" si="25"/>
        <v>Senior Professional</v>
      </c>
      <c r="O194" s="11">
        <f t="shared" si="26"/>
        <v>7</v>
      </c>
      <c r="P194" s="12">
        <v>1372422</v>
      </c>
      <c r="Q194" t="str">
        <f t="shared" si="27"/>
        <v>Low</v>
      </c>
    </row>
    <row r="195" spans="1:17" ht="12.5" x14ac:dyDescent="0.25">
      <c r="A195" s="9" t="s">
        <v>212</v>
      </c>
      <c r="B195" s="9" t="s">
        <v>16</v>
      </c>
      <c r="C195" s="9" t="s">
        <v>17</v>
      </c>
      <c r="D195" s="10">
        <v>40001</v>
      </c>
      <c r="E195" s="10" t="str">
        <f t="shared" ref="E195:E258" si="29">TEXT(D195, "YYYY")</f>
        <v>2009</v>
      </c>
      <c r="F195" s="10" t="str">
        <f t="shared" ref="F195:F258" si="30">TEXT(D195, "MMM")</f>
        <v>Jul</v>
      </c>
      <c r="G195" s="10" t="str">
        <f t="shared" ref="G195:G258" si="31">"Q" &amp; ROUNDUP(MONTH(D195)/3,0)</f>
        <v>Q3</v>
      </c>
      <c r="H195" s="11">
        <f t="shared" ca="1" si="28"/>
        <v>16</v>
      </c>
      <c r="I195" t="str">
        <f t="shared" ref="I195:I258" ca="1" si="32">IF(AND(H195&gt;=0, H195&lt;2), "Fresher", IF(AND(H195&gt;=2, H195&lt;5), "Junior", IF(AND(H195&gt;=5, H195&lt;10), "Established", "Senior")))</f>
        <v>Senior</v>
      </c>
      <c r="J195">
        <v>7</v>
      </c>
      <c r="K195" s="11">
        <v>4</v>
      </c>
      <c r="L195" s="11" t="str">
        <f t="shared" ref="L195:L258" si="33">IF(K195=1, "Poor Performer", IF(K195=2, "Fair Performer", IF(K195=3, "Average Performer", IF(K195=4, "Good Performer", "Excellent Performer"))))</f>
        <v>Good Performer</v>
      </c>
      <c r="M195" s="11">
        <v>42</v>
      </c>
      <c r="N195" s="11" t="str">
        <f t="shared" ref="N195:N258" si="34">IF(AND(M195&lt;25), "Young Talent", IF(AND(M195&gt;=25, M195&lt;35), "Emerging Professional", IF(AND(M195&gt;=35, M195&lt;45), "Established Professional", "Senior Professional")))</f>
        <v>Established Professional</v>
      </c>
      <c r="O195" s="11">
        <f t="shared" ref="O195:O258" si="35">60-M195</f>
        <v>18</v>
      </c>
      <c r="P195" s="12">
        <v>1794881</v>
      </c>
      <c r="Q195" t="str">
        <f t="shared" si="27"/>
        <v>Low</v>
      </c>
    </row>
    <row r="196" spans="1:17" ht="12.5" x14ac:dyDescent="0.25">
      <c r="A196" s="9" t="s">
        <v>213</v>
      </c>
      <c r="B196" s="9" t="s">
        <v>13</v>
      </c>
      <c r="C196" s="9" t="s">
        <v>14</v>
      </c>
      <c r="D196" s="10">
        <v>42366</v>
      </c>
      <c r="E196" s="10" t="str">
        <f t="shared" si="29"/>
        <v>2015</v>
      </c>
      <c r="F196" s="10" t="str">
        <f t="shared" si="30"/>
        <v>Dec</v>
      </c>
      <c r="G196" s="10" t="str">
        <f t="shared" si="31"/>
        <v>Q4</v>
      </c>
      <c r="H196" s="11">
        <f t="shared" ca="1" si="28"/>
        <v>10</v>
      </c>
      <c r="I196" t="str">
        <f t="shared" ca="1" si="32"/>
        <v>Senior</v>
      </c>
      <c r="J196">
        <v>1</v>
      </c>
      <c r="K196" s="11">
        <v>4</v>
      </c>
      <c r="L196" s="11" t="str">
        <f t="shared" si="33"/>
        <v>Good Performer</v>
      </c>
      <c r="M196" s="11">
        <v>42</v>
      </c>
      <c r="N196" s="11" t="str">
        <f t="shared" si="34"/>
        <v>Established Professional</v>
      </c>
      <c r="O196" s="11">
        <f t="shared" si="35"/>
        <v>18</v>
      </c>
      <c r="P196" s="12">
        <v>2195566</v>
      </c>
      <c r="Q196" t="str">
        <f t="shared" si="27"/>
        <v>Medium</v>
      </c>
    </row>
    <row r="197" spans="1:17" ht="12.5" x14ac:dyDescent="0.25">
      <c r="A197" s="9" t="s">
        <v>214</v>
      </c>
      <c r="B197" s="9" t="s">
        <v>36</v>
      </c>
      <c r="C197" s="9" t="s">
        <v>37</v>
      </c>
      <c r="D197" s="10">
        <v>40888</v>
      </c>
      <c r="E197" s="10" t="str">
        <f t="shared" si="29"/>
        <v>2011</v>
      </c>
      <c r="F197" s="10" t="str">
        <f t="shared" si="30"/>
        <v>Dec</v>
      </c>
      <c r="G197" s="10" t="str">
        <f t="shared" si="31"/>
        <v>Q4</v>
      </c>
      <c r="H197" s="11">
        <f t="shared" ca="1" si="28"/>
        <v>14</v>
      </c>
      <c r="I197" t="str">
        <f t="shared" ca="1" si="32"/>
        <v>Senior</v>
      </c>
      <c r="J197">
        <v>4</v>
      </c>
      <c r="K197" s="11">
        <v>5</v>
      </c>
      <c r="L197" s="11" t="str">
        <f t="shared" si="33"/>
        <v>Excellent Performer</v>
      </c>
      <c r="M197" s="11">
        <v>54</v>
      </c>
      <c r="N197" s="11" t="str">
        <f t="shared" si="34"/>
        <v>Senior Professional</v>
      </c>
      <c r="O197" s="11">
        <f t="shared" si="35"/>
        <v>6</v>
      </c>
      <c r="P197" s="12">
        <v>511749</v>
      </c>
      <c r="Q197" t="str">
        <f t="shared" si="27"/>
        <v>Low</v>
      </c>
    </row>
    <row r="198" spans="1:17" ht="12.5" x14ac:dyDescent="0.25">
      <c r="A198" s="9" t="s">
        <v>215</v>
      </c>
      <c r="B198" s="9" t="s">
        <v>13</v>
      </c>
      <c r="C198" s="9" t="s">
        <v>14</v>
      </c>
      <c r="D198" s="10">
        <v>38162</v>
      </c>
      <c r="E198" s="10" t="str">
        <f t="shared" si="29"/>
        <v>2004</v>
      </c>
      <c r="F198" s="10" t="str">
        <f t="shared" si="30"/>
        <v>Jun</v>
      </c>
      <c r="G198" s="10" t="str">
        <f t="shared" si="31"/>
        <v>Q2</v>
      </c>
      <c r="H198" s="11">
        <f t="shared" ca="1" si="28"/>
        <v>21</v>
      </c>
      <c r="I198" t="str">
        <f t="shared" ca="1" si="32"/>
        <v>Senior</v>
      </c>
      <c r="J198">
        <v>5</v>
      </c>
      <c r="K198" s="11">
        <v>5</v>
      </c>
      <c r="L198" s="11" t="str">
        <f t="shared" si="33"/>
        <v>Excellent Performer</v>
      </c>
      <c r="M198" s="11">
        <v>44</v>
      </c>
      <c r="N198" s="11" t="str">
        <f t="shared" si="34"/>
        <v>Established Professional</v>
      </c>
      <c r="O198" s="11">
        <f t="shared" si="35"/>
        <v>16</v>
      </c>
      <c r="P198" s="12">
        <v>751257</v>
      </c>
      <c r="Q198" t="str">
        <f t="shared" si="27"/>
        <v>Low</v>
      </c>
    </row>
    <row r="199" spans="1:17" ht="12.5" x14ac:dyDescent="0.25">
      <c r="A199" s="9" t="s">
        <v>216</v>
      </c>
      <c r="B199" s="9" t="s">
        <v>4</v>
      </c>
      <c r="C199" s="9" t="s">
        <v>5</v>
      </c>
      <c r="D199" s="10">
        <v>39934</v>
      </c>
      <c r="E199" s="10" t="str">
        <f t="shared" si="29"/>
        <v>2009</v>
      </c>
      <c r="F199" s="10" t="str">
        <f t="shared" si="30"/>
        <v>May</v>
      </c>
      <c r="G199" s="10" t="str">
        <f t="shared" si="31"/>
        <v>Q2</v>
      </c>
      <c r="H199" s="11">
        <f t="shared" ca="1" si="28"/>
        <v>16</v>
      </c>
      <c r="I199" t="str">
        <f t="shared" ca="1" si="32"/>
        <v>Senior</v>
      </c>
      <c r="J199">
        <v>4</v>
      </c>
      <c r="K199" s="11">
        <v>3</v>
      </c>
      <c r="L199" s="11" t="str">
        <f t="shared" si="33"/>
        <v>Average Performer</v>
      </c>
      <c r="M199" s="11">
        <v>40</v>
      </c>
      <c r="N199" s="11" t="str">
        <f t="shared" si="34"/>
        <v>Established Professional</v>
      </c>
      <c r="O199" s="11">
        <f t="shared" si="35"/>
        <v>20</v>
      </c>
      <c r="P199" s="12">
        <v>1030308</v>
      </c>
      <c r="Q199" t="str">
        <f t="shared" si="27"/>
        <v>Low</v>
      </c>
    </row>
    <row r="200" spans="1:17" ht="12.5" x14ac:dyDescent="0.25">
      <c r="A200" s="9" t="s">
        <v>217</v>
      </c>
      <c r="B200" s="9" t="s">
        <v>49</v>
      </c>
      <c r="C200" s="9" t="s">
        <v>50</v>
      </c>
      <c r="D200" s="10">
        <v>43462</v>
      </c>
      <c r="E200" s="10" t="str">
        <f t="shared" si="29"/>
        <v>2018</v>
      </c>
      <c r="F200" s="10" t="str">
        <f t="shared" si="30"/>
        <v>Dec</v>
      </c>
      <c r="G200" s="10" t="str">
        <f t="shared" si="31"/>
        <v>Q4</v>
      </c>
      <c r="H200" s="11">
        <f t="shared" ca="1" si="28"/>
        <v>7</v>
      </c>
      <c r="I200" t="str">
        <f t="shared" ca="1" si="32"/>
        <v>Established</v>
      </c>
      <c r="J200">
        <v>2</v>
      </c>
      <c r="K200" s="11">
        <v>2</v>
      </c>
      <c r="L200" s="11" t="str">
        <f t="shared" si="33"/>
        <v>Fair Performer</v>
      </c>
      <c r="M200" s="11">
        <v>28</v>
      </c>
      <c r="N200" s="11" t="str">
        <f t="shared" si="34"/>
        <v>Emerging Professional</v>
      </c>
      <c r="O200" s="11">
        <f t="shared" si="35"/>
        <v>32</v>
      </c>
      <c r="P200" s="12">
        <v>2490275</v>
      </c>
      <c r="Q200" t="str">
        <f t="shared" si="27"/>
        <v>Medium</v>
      </c>
    </row>
    <row r="201" spans="1:17" ht="12.5" x14ac:dyDescent="0.25">
      <c r="A201" s="9" t="s">
        <v>218</v>
      </c>
      <c r="B201" s="9" t="s">
        <v>20</v>
      </c>
      <c r="C201" s="9" t="s">
        <v>21</v>
      </c>
      <c r="D201" s="10">
        <v>43575</v>
      </c>
      <c r="E201" s="10" t="str">
        <f t="shared" si="29"/>
        <v>2019</v>
      </c>
      <c r="F201" s="10" t="str">
        <f t="shared" si="30"/>
        <v>Apr</v>
      </c>
      <c r="G201" s="10" t="str">
        <f t="shared" si="31"/>
        <v>Q2</v>
      </c>
      <c r="H201" s="11">
        <f t="shared" ca="1" si="28"/>
        <v>6</v>
      </c>
      <c r="I201" t="str">
        <f t="shared" ca="1" si="32"/>
        <v>Established</v>
      </c>
      <c r="J201">
        <v>7</v>
      </c>
      <c r="K201" s="11">
        <v>3</v>
      </c>
      <c r="L201" s="11" t="str">
        <f t="shared" si="33"/>
        <v>Average Performer</v>
      </c>
      <c r="M201" s="11">
        <v>33</v>
      </c>
      <c r="N201" s="11" t="str">
        <f t="shared" si="34"/>
        <v>Emerging Professional</v>
      </c>
      <c r="O201" s="11">
        <f t="shared" si="35"/>
        <v>27</v>
      </c>
      <c r="P201" s="12">
        <v>2297238</v>
      </c>
      <c r="Q201" t="str">
        <f t="shared" si="27"/>
        <v>Medium</v>
      </c>
    </row>
    <row r="202" spans="1:17" ht="12.5" x14ac:dyDescent="0.25">
      <c r="A202" s="9" t="s">
        <v>219</v>
      </c>
      <c r="B202" s="9" t="s">
        <v>4</v>
      </c>
      <c r="C202" s="9" t="s">
        <v>5</v>
      </c>
      <c r="D202" s="10">
        <v>41055</v>
      </c>
      <c r="E202" s="10" t="str">
        <f t="shared" si="29"/>
        <v>2012</v>
      </c>
      <c r="F202" s="10" t="str">
        <f t="shared" si="30"/>
        <v>May</v>
      </c>
      <c r="G202" s="10" t="str">
        <f t="shared" si="31"/>
        <v>Q2</v>
      </c>
      <c r="H202" s="11">
        <f t="shared" ca="1" si="28"/>
        <v>13</v>
      </c>
      <c r="I202" t="str">
        <f t="shared" ca="1" si="32"/>
        <v>Senior</v>
      </c>
      <c r="J202">
        <v>2</v>
      </c>
      <c r="K202" s="11">
        <v>5</v>
      </c>
      <c r="L202" s="11" t="str">
        <f t="shared" si="33"/>
        <v>Excellent Performer</v>
      </c>
      <c r="M202" s="11">
        <v>46</v>
      </c>
      <c r="N202" s="11" t="str">
        <f t="shared" si="34"/>
        <v>Senior Professional</v>
      </c>
      <c r="O202" s="11">
        <f t="shared" si="35"/>
        <v>14</v>
      </c>
      <c r="P202" s="12">
        <v>4947805</v>
      </c>
      <c r="Q202" t="str">
        <f t="shared" si="27"/>
        <v>Very High</v>
      </c>
    </row>
    <row r="203" spans="1:17" ht="12.5" x14ac:dyDescent="0.25">
      <c r="A203" s="9" t="s">
        <v>220</v>
      </c>
      <c r="B203" s="9" t="s">
        <v>13</v>
      </c>
      <c r="C203" s="9" t="s">
        <v>14</v>
      </c>
      <c r="D203" s="10">
        <v>40720</v>
      </c>
      <c r="E203" s="10" t="str">
        <f t="shared" si="29"/>
        <v>2011</v>
      </c>
      <c r="F203" s="10" t="str">
        <f t="shared" si="30"/>
        <v>Jun</v>
      </c>
      <c r="G203" s="10" t="str">
        <f t="shared" si="31"/>
        <v>Q2</v>
      </c>
      <c r="H203" s="11">
        <f t="shared" ca="1" si="28"/>
        <v>14</v>
      </c>
      <c r="I203" t="str">
        <f t="shared" ca="1" si="32"/>
        <v>Senior</v>
      </c>
      <c r="J203">
        <v>3</v>
      </c>
      <c r="K203" s="11">
        <v>2</v>
      </c>
      <c r="L203" s="11" t="str">
        <f t="shared" si="33"/>
        <v>Fair Performer</v>
      </c>
      <c r="M203" s="11">
        <v>46</v>
      </c>
      <c r="N203" s="11" t="str">
        <f t="shared" si="34"/>
        <v>Senior Professional</v>
      </c>
      <c r="O203" s="11">
        <f t="shared" si="35"/>
        <v>14</v>
      </c>
      <c r="P203" s="12">
        <v>624339</v>
      </c>
      <c r="Q203" t="str">
        <f t="shared" ref="Q203:Q266" si="36">IF(P203&lt;= _xlfn.PERCENTILE.INC(P203:P574, 0.25), "Low", IF(P203&lt;= _xlfn.PERCENTILE.INC(P203:P574, 0.5),"Medium",IF(P203&lt;= _xlfn.PERCENTILE.INC(P203:P574, 0.75),"High","Very High")))</f>
        <v>Low</v>
      </c>
    </row>
    <row r="204" spans="1:17" ht="12.5" x14ac:dyDescent="0.25">
      <c r="A204" s="9" t="s">
        <v>221</v>
      </c>
      <c r="B204" s="9" t="s">
        <v>16</v>
      </c>
      <c r="C204" s="9" t="s">
        <v>17</v>
      </c>
      <c r="D204" s="10">
        <v>42487</v>
      </c>
      <c r="E204" s="10" t="str">
        <f t="shared" si="29"/>
        <v>2016</v>
      </c>
      <c r="F204" s="10" t="str">
        <f t="shared" si="30"/>
        <v>Apr</v>
      </c>
      <c r="G204" s="10" t="str">
        <f t="shared" si="31"/>
        <v>Q2</v>
      </c>
      <c r="H204" s="11">
        <f t="shared" ca="1" si="28"/>
        <v>9</v>
      </c>
      <c r="I204" t="str">
        <f t="shared" ca="1" si="32"/>
        <v>Established</v>
      </c>
      <c r="J204">
        <v>4</v>
      </c>
      <c r="K204" s="11">
        <v>2</v>
      </c>
      <c r="L204" s="11" t="str">
        <f t="shared" si="33"/>
        <v>Fair Performer</v>
      </c>
      <c r="M204" s="11">
        <v>49</v>
      </c>
      <c r="N204" s="11" t="str">
        <f t="shared" si="34"/>
        <v>Senior Professional</v>
      </c>
      <c r="O204" s="11">
        <f t="shared" si="35"/>
        <v>11</v>
      </c>
      <c r="P204" s="12">
        <v>2963248</v>
      </c>
      <c r="Q204" t="str">
        <f t="shared" si="36"/>
        <v>Medium</v>
      </c>
    </row>
    <row r="205" spans="1:17" ht="12.5" x14ac:dyDescent="0.25">
      <c r="A205" s="9" t="s">
        <v>222</v>
      </c>
      <c r="B205" s="9" t="s">
        <v>36</v>
      </c>
      <c r="C205" s="9" t="s">
        <v>37</v>
      </c>
      <c r="D205" s="10">
        <v>40099</v>
      </c>
      <c r="E205" s="10" t="str">
        <f t="shared" si="29"/>
        <v>2009</v>
      </c>
      <c r="F205" s="10" t="str">
        <f t="shared" si="30"/>
        <v>Oct</v>
      </c>
      <c r="G205" s="10" t="str">
        <f t="shared" si="31"/>
        <v>Q4</v>
      </c>
      <c r="H205" s="11">
        <f t="shared" ca="1" si="28"/>
        <v>16</v>
      </c>
      <c r="I205" t="str">
        <f t="shared" ca="1" si="32"/>
        <v>Senior</v>
      </c>
      <c r="J205">
        <v>4</v>
      </c>
      <c r="K205" s="11">
        <v>1</v>
      </c>
      <c r="L205" s="11" t="str">
        <f t="shared" si="33"/>
        <v>Poor Performer</v>
      </c>
      <c r="M205" s="11">
        <v>45</v>
      </c>
      <c r="N205" s="11" t="str">
        <f t="shared" si="34"/>
        <v>Senior Professional</v>
      </c>
      <c r="O205" s="11">
        <f t="shared" si="35"/>
        <v>15</v>
      </c>
      <c r="P205" s="12">
        <v>2755952</v>
      </c>
      <c r="Q205" t="str">
        <f t="shared" si="36"/>
        <v>Medium</v>
      </c>
    </row>
    <row r="206" spans="1:17" ht="12.5" x14ac:dyDescent="0.25">
      <c r="A206" s="9" t="s">
        <v>223</v>
      </c>
      <c r="B206" s="9" t="s">
        <v>49</v>
      </c>
      <c r="C206" s="9" t="s">
        <v>50</v>
      </c>
      <c r="D206" s="10">
        <v>40065</v>
      </c>
      <c r="E206" s="10" t="str">
        <f t="shared" si="29"/>
        <v>2009</v>
      </c>
      <c r="F206" s="10" t="str">
        <f t="shared" si="30"/>
        <v>Sep</v>
      </c>
      <c r="G206" s="10" t="str">
        <f t="shared" si="31"/>
        <v>Q3</v>
      </c>
      <c r="H206" s="11">
        <f t="shared" ca="1" si="28"/>
        <v>16</v>
      </c>
      <c r="I206" t="str">
        <f t="shared" ca="1" si="32"/>
        <v>Senior</v>
      </c>
      <c r="J206">
        <v>2</v>
      </c>
      <c r="K206" s="11">
        <v>1</v>
      </c>
      <c r="L206" s="11" t="str">
        <f t="shared" si="33"/>
        <v>Poor Performer</v>
      </c>
      <c r="M206" s="11">
        <v>47</v>
      </c>
      <c r="N206" s="11" t="str">
        <f t="shared" si="34"/>
        <v>Senior Professional</v>
      </c>
      <c r="O206" s="11">
        <f t="shared" si="35"/>
        <v>13</v>
      </c>
      <c r="P206" s="12">
        <v>1203218</v>
      </c>
      <c r="Q206" t="str">
        <f t="shared" si="36"/>
        <v>Low</v>
      </c>
    </row>
    <row r="207" spans="1:17" ht="12.5" x14ac:dyDescent="0.25">
      <c r="A207" s="9" t="s">
        <v>224</v>
      </c>
      <c r="B207" s="9" t="s">
        <v>7</v>
      </c>
      <c r="C207" s="9" t="s">
        <v>8</v>
      </c>
      <c r="D207" s="10">
        <v>44746</v>
      </c>
      <c r="E207" s="10" t="str">
        <f t="shared" si="29"/>
        <v>2022</v>
      </c>
      <c r="F207" s="10" t="str">
        <f t="shared" si="30"/>
        <v>Jul</v>
      </c>
      <c r="G207" s="10" t="str">
        <f t="shared" si="31"/>
        <v>Q3</v>
      </c>
      <c r="H207" s="11">
        <f t="shared" ca="1" si="28"/>
        <v>3</v>
      </c>
      <c r="I207" t="str">
        <f t="shared" ca="1" si="32"/>
        <v>Junior</v>
      </c>
      <c r="J207">
        <v>2</v>
      </c>
      <c r="K207" s="11">
        <v>2</v>
      </c>
      <c r="L207" s="11" t="str">
        <f t="shared" si="33"/>
        <v>Fair Performer</v>
      </c>
      <c r="M207" s="11">
        <v>56</v>
      </c>
      <c r="N207" s="11" t="str">
        <f t="shared" si="34"/>
        <v>Senior Professional</v>
      </c>
      <c r="O207" s="11">
        <f t="shared" si="35"/>
        <v>4</v>
      </c>
      <c r="P207" s="12">
        <v>2165815</v>
      </c>
      <c r="Q207" t="str">
        <f t="shared" si="36"/>
        <v>Low</v>
      </c>
    </row>
    <row r="208" spans="1:17" ht="12.5" x14ac:dyDescent="0.25">
      <c r="A208" s="9" t="s">
        <v>225</v>
      </c>
      <c r="B208" s="9" t="s">
        <v>16</v>
      </c>
      <c r="C208" s="9" t="s">
        <v>17</v>
      </c>
      <c r="D208" s="10">
        <v>40771</v>
      </c>
      <c r="E208" s="10" t="str">
        <f t="shared" si="29"/>
        <v>2011</v>
      </c>
      <c r="F208" s="10" t="str">
        <f t="shared" si="30"/>
        <v>Aug</v>
      </c>
      <c r="G208" s="10" t="str">
        <f t="shared" si="31"/>
        <v>Q3</v>
      </c>
      <c r="H208" s="11">
        <f t="shared" ca="1" si="28"/>
        <v>14</v>
      </c>
      <c r="I208" t="str">
        <f t="shared" ca="1" si="32"/>
        <v>Senior</v>
      </c>
      <c r="J208">
        <v>2</v>
      </c>
      <c r="K208" s="11">
        <v>3</v>
      </c>
      <c r="L208" s="11" t="str">
        <f t="shared" si="33"/>
        <v>Average Performer</v>
      </c>
      <c r="M208" s="11">
        <v>44</v>
      </c>
      <c r="N208" s="11" t="str">
        <f t="shared" si="34"/>
        <v>Established Professional</v>
      </c>
      <c r="O208" s="11">
        <f t="shared" si="35"/>
        <v>16</v>
      </c>
      <c r="P208" s="12">
        <v>5368016</v>
      </c>
      <c r="Q208" t="str">
        <f t="shared" si="36"/>
        <v>Very High</v>
      </c>
    </row>
    <row r="209" spans="1:17" ht="12.5" x14ac:dyDescent="0.25">
      <c r="A209" s="9" t="s">
        <v>226</v>
      </c>
      <c r="B209" s="9" t="s">
        <v>13</v>
      </c>
      <c r="C209" s="9" t="s">
        <v>14</v>
      </c>
      <c r="D209" s="10">
        <v>42329</v>
      </c>
      <c r="E209" s="10" t="str">
        <f t="shared" si="29"/>
        <v>2015</v>
      </c>
      <c r="F209" s="10" t="str">
        <f t="shared" si="30"/>
        <v>Nov</v>
      </c>
      <c r="G209" s="10" t="str">
        <f t="shared" si="31"/>
        <v>Q4</v>
      </c>
      <c r="H209" s="11">
        <f t="shared" ca="1" si="28"/>
        <v>10</v>
      </c>
      <c r="I209" t="str">
        <f t="shared" ca="1" si="32"/>
        <v>Senior</v>
      </c>
      <c r="J209">
        <v>4</v>
      </c>
      <c r="K209" s="11">
        <v>3</v>
      </c>
      <c r="L209" s="11" t="str">
        <f t="shared" si="33"/>
        <v>Average Performer</v>
      </c>
      <c r="M209" s="11">
        <v>46</v>
      </c>
      <c r="N209" s="11" t="str">
        <f t="shared" si="34"/>
        <v>Senior Professional</v>
      </c>
      <c r="O209" s="11">
        <f t="shared" si="35"/>
        <v>14</v>
      </c>
      <c r="P209" s="12">
        <v>5191518</v>
      </c>
      <c r="Q209" t="str">
        <f t="shared" si="36"/>
        <v>Very High</v>
      </c>
    </row>
    <row r="210" spans="1:17" ht="12.5" x14ac:dyDescent="0.25">
      <c r="A210" s="9" t="s">
        <v>227</v>
      </c>
      <c r="B210" s="9" t="s">
        <v>36</v>
      </c>
      <c r="C210" s="9" t="s">
        <v>37</v>
      </c>
      <c r="D210" s="10">
        <v>41026</v>
      </c>
      <c r="E210" s="10" t="str">
        <f t="shared" si="29"/>
        <v>2012</v>
      </c>
      <c r="F210" s="10" t="str">
        <f t="shared" si="30"/>
        <v>Apr</v>
      </c>
      <c r="G210" s="10" t="str">
        <f t="shared" si="31"/>
        <v>Q2</v>
      </c>
      <c r="H210" s="11">
        <f t="shared" ca="1" si="28"/>
        <v>13</v>
      </c>
      <c r="I210" t="str">
        <f t="shared" ca="1" si="32"/>
        <v>Senior</v>
      </c>
      <c r="J210">
        <v>4</v>
      </c>
      <c r="K210" s="11">
        <v>5</v>
      </c>
      <c r="L210" s="11" t="str">
        <f t="shared" si="33"/>
        <v>Excellent Performer</v>
      </c>
      <c r="M210" s="11">
        <v>32</v>
      </c>
      <c r="N210" s="11" t="str">
        <f t="shared" si="34"/>
        <v>Emerging Professional</v>
      </c>
      <c r="O210" s="11">
        <f t="shared" si="35"/>
        <v>28</v>
      </c>
      <c r="P210" s="12">
        <v>2113300</v>
      </c>
      <c r="Q210" t="str">
        <f t="shared" si="36"/>
        <v>Low</v>
      </c>
    </row>
    <row r="211" spans="1:17" ht="12.5" x14ac:dyDescent="0.25">
      <c r="A211" s="9" t="s">
        <v>228</v>
      </c>
      <c r="B211" s="9" t="s">
        <v>4</v>
      </c>
      <c r="C211" s="9" t="s">
        <v>5</v>
      </c>
      <c r="D211" s="10">
        <v>43213</v>
      </c>
      <c r="E211" s="10" t="str">
        <f t="shared" si="29"/>
        <v>2018</v>
      </c>
      <c r="F211" s="10" t="str">
        <f t="shared" si="30"/>
        <v>Apr</v>
      </c>
      <c r="G211" s="10" t="str">
        <f t="shared" si="31"/>
        <v>Q2</v>
      </c>
      <c r="H211" s="11">
        <f t="shared" ca="1" si="28"/>
        <v>7</v>
      </c>
      <c r="I211" t="str">
        <f t="shared" ca="1" si="32"/>
        <v>Established</v>
      </c>
      <c r="J211">
        <v>2</v>
      </c>
      <c r="K211" s="11">
        <v>5</v>
      </c>
      <c r="L211" s="11" t="str">
        <f t="shared" si="33"/>
        <v>Excellent Performer</v>
      </c>
      <c r="M211" s="11">
        <v>46</v>
      </c>
      <c r="N211" s="11" t="str">
        <f t="shared" si="34"/>
        <v>Senior Professional</v>
      </c>
      <c r="O211" s="11">
        <f t="shared" si="35"/>
        <v>14</v>
      </c>
      <c r="P211" s="12">
        <v>3435792</v>
      </c>
      <c r="Q211" t="str">
        <f t="shared" si="36"/>
        <v>High</v>
      </c>
    </row>
    <row r="212" spans="1:17" ht="12.5" x14ac:dyDescent="0.25">
      <c r="A212" s="9" t="s">
        <v>229</v>
      </c>
      <c r="B212" s="9" t="s">
        <v>10</v>
      </c>
      <c r="C212" s="9" t="s">
        <v>11</v>
      </c>
      <c r="D212" s="10">
        <v>38195</v>
      </c>
      <c r="E212" s="10" t="str">
        <f t="shared" si="29"/>
        <v>2004</v>
      </c>
      <c r="F212" s="10" t="str">
        <f t="shared" si="30"/>
        <v>Jul</v>
      </c>
      <c r="G212" s="10" t="str">
        <f t="shared" si="31"/>
        <v>Q3</v>
      </c>
      <c r="H212" s="11">
        <f t="shared" ca="1" si="28"/>
        <v>21</v>
      </c>
      <c r="I212" t="str">
        <f t="shared" ca="1" si="32"/>
        <v>Senior</v>
      </c>
      <c r="J212">
        <v>2</v>
      </c>
      <c r="K212" s="11">
        <v>4</v>
      </c>
      <c r="L212" s="11" t="str">
        <f t="shared" si="33"/>
        <v>Good Performer</v>
      </c>
      <c r="M212" s="11">
        <v>50</v>
      </c>
      <c r="N212" s="11" t="str">
        <f t="shared" si="34"/>
        <v>Senior Professional</v>
      </c>
      <c r="O212" s="11">
        <f t="shared" si="35"/>
        <v>10</v>
      </c>
      <c r="P212" s="12">
        <v>410274</v>
      </c>
      <c r="Q212" t="str">
        <f t="shared" si="36"/>
        <v>Low</v>
      </c>
    </row>
    <row r="213" spans="1:17" ht="12.5" x14ac:dyDescent="0.25">
      <c r="A213" s="9" t="s">
        <v>230</v>
      </c>
      <c r="B213" s="9" t="s">
        <v>4</v>
      </c>
      <c r="C213" s="9" t="s">
        <v>5</v>
      </c>
      <c r="D213" s="10">
        <v>38366</v>
      </c>
      <c r="E213" s="10" t="str">
        <f t="shared" si="29"/>
        <v>2005</v>
      </c>
      <c r="F213" s="10" t="str">
        <f t="shared" si="30"/>
        <v>Jan</v>
      </c>
      <c r="G213" s="10" t="str">
        <f t="shared" si="31"/>
        <v>Q1</v>
      </c>
      <c r="H213" s="11">
        <f t="shared" ca="1" si="28"/>
        <v>20</v>
      </c>
      <c r="I213" t="str">
        <f t="shared" ca="1" si="32"/>
        <v>Senior</v>
      </c>
      <c r="J213">
        <v>1</v>
      </c>
      <c r="K213" s="11">
        <v>2</v>
      </c>
      <c r="L213" s="11" t="str">
        <f t="shared" si="33"/>
        <v>Fair Performer</v>
      </c>
      <c r="M213" s="11">
        <v>32</v>
      </c>
      <c r="N213" s="11" t="str">
        <f t="shared" si="34"/>
        <v>Emerging Professional</v>
      </c>
      <c r="O213" s="11">
        <f t="shared" si="35"/>
        <v>28</v>
      </c>
      <c r="P213" s="12">
        <v>3519254</v>
      </c>
      <c r="Q213" t="str">
        <f t="shared" si="36"/>
        <v>High</v>
      </c>
    </row>
    <row r="214" spans="1:17" ht="12.5" x14ac:dyDescent="0.25">
      <c r="A214" s="9" t="s">
        <v>231</v>
      </c>
      <c r="B214" s="9" t="s">
        <v>4</v>
      </c>
      <c r="C214" s="9" t="s">
        <v>5</v>
      </c>
      <c r="D214" s="10">
        <v>38767</v>
      </c>
      <c r="E214" s="10" t="str">
        <f t="shared" si="29"/>
        <v>2006</v>
      </c>
      <c r="F214" s="10" t="str">
        <f t="shared" si="30"/>
        <v>Feb</v>
      </c>
      <c r="G214" s="10" t="str">
        <f t="shared" si="31"/>
        <v>Q1</v>
      </c>
      <c r="H214" s="11">
        <f t="shared" ca="1" si="28"/>
        <v>19</v>
      </c>
      <c r="I214" t="str">
        <f t="shared" ca="1" si="32"/>
        <v>Senior</v>
      </c>
      <c r="J214">
        <v>4</v>
      </c>
      <c r="K214" s="11">
        <v>4</v>
      </c>
      <c r="L214" s="11" t="str">
        <f t="shared" si="33"/>
        <v>Good Performer</v>
      </c>
      <c r="M214" s="11">
        <v>25</v>
      </c>
      <c r="N214" s="11" t="str">
        <f t="shared" si="34"/>
        <v>Emerging Professional</v>
      </c>
      <c r="O214" s="11">
        <f t="shared" si="35"/>
        <v>35</v>
      </c>
      <c r="P214" s="12">
        <v>2381413</v>
      </c>
      <c r="Q214" t="str">
        <f t="shared" si="36"/>
        <v>Medium</v>
      </c>
    </row>
    <row r="215" spans="1:17" ht="12.5" x14ac:dyDescent="0.25">
      <c r="A215" s="9" t="s">
        <v>232</v>
      </c>
      <c r="B215" s="9" t="s">
        <v>13</v>
      </c>
      <c r="C215" s="9" t="s">
        <v>14</v>
      </c>
      <c r="D215" s="10">
        <v>41342</v>
      </c>
      <c r="E215" s="10" t="str">
        <f t="shared" si="29"/>
        <v>2013</v>
      </c>
      <c r="F215" s="10" t="str">
        <f t="shared" si="30"/>
        <v>Mar</v>
      </c>
      <c r="G215" s="10" t="str">
        <f t="shared" si="31"/>
        <v>Q1</v>
      </c>
      <c r="H215" s="11">
        <f t="shared" ca="1" si="28"/>
        <v>12</v>
      </c>
      <c r="I215" t="str">
        <f t="shared" ca="1" si="32"/>
        <v>Senior</v>
      </c>
      <c r="J215">
        <v>4</v>
      </c>
      <c r="K215" s="11">
        <v>2</v>
      </c>
      <c r="L215" s="11" t="str">
        <f t="shared" si="33"/>
        <v>Fair Performer</v>
      </c>
      <c r="M215" s="11">
        <v>47</v>
      </c>
      <c r="N215" s="11" t="str">
        <f t="shared" si="34"/>
        <v>Senior Professional</v>
      </c>
      <c r="O215" s="11">
        <f t="shared" si="35"/>
        <v>13</v>
      </c>
      <c r="P215" s="12">
        <v>5240966</v>
      </c>
      <c r="Q215" t="str">
        <f t="shared" si="36"/>
        <v>Very High</v>
      </c>
    </row>
    <row r="216" spans="1:17" ht="12.5" x14ac:dyDescent="0.25">
      <c r="A216" s="9" t="s">
        <v>233</v>
      </c>
      <c r="B216" s="9" t="s">
        <v>7</v>
      </c>
      <c r="C216" s="9" t="s">
        <v>8</v>
      </c>
      <c r="D216" s="10">
        <v>38213</v>
      </c>
      <c r="E216" s="10" t="str">
        <f t="shared" si="29"/>
        <v>2004</v>
      </c>
      <c r="F216" s="10" t="str">
        <f t="shared" si="30"/>
        <v>Aug</v>
      </c>
      <c r="G216" s="10" t="str">
        <f t="shared" si="31"/>
        <v>Q3</v>
      </c>
      <c r="H216" s="11">
        <f t="shared" ca="1" si="28"/>
        <v>21</v>
      </c>
      <c r="I216" t="str">
        <f t="shared" ca="1" si="32"/>
        <v>Senior</v>
      </c>
      <c r="J216">
        <v>4</v>
      </c>
      <c r="K216" s="11">
        <v>5</v>
      </c>
      <c r="L216" s="11" t="str">
        <f t="shared" si="33"/>
        <v>Excellent Performer</v>
      </c>
      <c r="M216" s="11">
        <v>29</v>
      </c>
      <c r="N216" s="11" t="str">
        <f t="shared" si="34"/>
        <v>Emerging Professional</v>
      </c>
      <c r="O216" s="11">
        <f t="shared" si="35"/>
        <v>31</v>
      </c>
      <c r="P216" s="12">
        <v>1614538</v>
      </c>
      <c r="Q216" t="str">
        <f t="shared" si="36"/>
        <v>Low</v>
      </c>
    </row>
    <row r="217" spans="1:17" ht="12.5" x14ac:dyDescent="0.25">
      <c r="A217" s="9" t="s">
        <v>234</v>
      </c>
      <c r="B217" s="9" t="s">
        <v>49</v>
      </c>
      <c r="C217" s="9" t="s">
        <v>50</v>
      </c>
      <c r="D217" s="10">
        <v>44085</v>
      </c>
      <c r="E217" s="10" t="str">
        <f t="shared" si="29"/>
        <v>2020</v>
      </c>
      <c r="F217" s="10" t="str">
        <f t="shared" si="30"/>
        <v>Sep</v>
      </c>
      <c r="G217" s="10" t="str">
        <f t="shared" si="31"/>
        <v>Q3</v>
      </c>
      <c r="H217" s="11">
        <f t="shared" ca="1" si="28"/>
        <v>5</v>
      </c>
      <c r="I217" t="str">
        <f t="shared" ca="1" si="32"/>
        <v>Established</v>
      </c>
      <c r="J217">
        <v>4</v>
      </c>
      <c r="K217" s="11">
        <v>1</v>
      </c>
      <c r="L217" s="11" t="str">
        <f t="shared" si="33"/>
        <v>Poor Performer</v>
      </c>
      <c r="M217" s="11">
        <v>29</v>
      </c>
      <c r="N217" s="11" t="str">
        <f t="shared" si="34"/>
        <v>Emerging Professional</v>
      </c>
      <c r="O217" s="11">
        <f t="shared" si="35"/>
        <v>31</v>
      </c>
      <c r="P217" s="12">
        <v>1184867</v>
      </c>
      <c r="Q217" t="str">
        <f t="shared" si="36"/>
        <v>Low</v>
      </c>
    </row>
    <row r="218" spans="1:17" ht="12.5" x14ac:dyDescent="0.25">
      <c r="A218" s="9" t="s">
        <v>235</v>
      </c>
      <c r="B218" s="9" t="s">
        <v>4</v>
      </c>
      <c r="C218" s="9" t="s">
        <v>5</v>
      </c>
      <c r="D218" s="10">
        <v>43263</v>
      </c>
      <c r="E218" s="10" t="str">
        <f t="shared" si="29"/>
        <v>2018</v>
      </c>
      <c r="F218" s="10" t="str">
        <f t="shared" si="30"/>
        <v>Jun</v>
      </c>
      <c r="G218" s="10" t="str">
        <f t="shared" si="31"/>
        <v>Q2</v>
      </c>
      <c r="H218" s="11">
        <f t="shared" ca="1" si="28"/>
        <v>7</v>
      </c>
      <c r="I218" t="str">
        <f t="shared" ca="1" si="32"/>
        <v>Established</v>
      </c>
      <c r="J218">
        <v>1</v>
      </c>
      <c r="K218" s="11">
        <v>5</v>
      </c>
      <c r="L218" s="11" t="str">
        <f t="shared" si="33"/>
        <v>Excellent Performer</v>
      </c>
      <c r="M218" s="11">
        <v>26</v>
      </c>
      <c r="N218" s="11" t="str">
        <f t="shared" si="34"/>
        <v>Emerging Professional</v>
      </c>
      <c r="O218" s="11">
        <f t="shared" si="35"/>
        <v>34</v>
      </c>
      <c r="P218" s="12">
        <v>1921237</v>
      </c>
      <c r="Q218" t="str">
        <f t="shared" si="36"/>
        <v>Low</v>
      </c>
    </row>
    <row r="219" spans="1:17" ht="12.5" x14ac:dyDescent="0.25">
      <c r="A219" s="9" t="s">
        <v>236</v>
      </c>
      <c r="B219" s="9" t="s">
        <v>20</v>
      </c>
      <c r="C219" s="9" t="s">
        <v>21</v>
      </c>
      <c r="D219" s="10">
        <v>43746</v>
      </c>
      <c r="E219" s="10" t="str">
        <f t="shared" si="29"/>
        <v>2019</v>
      </c>
      <c r="F219" s="10" t="str">
        <f t="shared" si="30"/>
        <v>Oct</v>
      </c>
      <c r="G219" s="10" t="str">
        <f t="shared" si="31"/>
        <v>Q4</v>
      </c>
      <c r="H219" s="11">
        <f t="shared" ca="1" si="28"/>
        <v>6</v>
      </c>
      <c r="I219" t="str">
        <f t="shared" ca="1" si="32"/>
        <v>Established</v>
      </c>
      <c r="J219">
        <v>2</v>
      </c>
      <c r="K219" s="11">
        <v>1</v>
      </c>
      <c r="L219" s="11" t="str">
        <f t="shared" si="33"/>
        <v>Poor Performer</v>
      </c>
      <c r="M219" s="11">
        <v>24</v>
      </c>
      <c r="N219" s="11" t="str">
        <f t="shared" si="34"/>
        <v>Young Talent</v>
      </c>
      <c r="O219" s="11">
        <f t="shared" si="35"/>
        <v>36</v>
      </c>
      <c r="P219" s="12">
        <v>1490111</v>
      </c>
      <c r="Q219" t="str">
        <f t="shared" si="36"/>
        <v>Low</v>
      </c>
    </row>
    <row r="220" spans="1:17" ht="12.5" x14ac:dyDescent="0.25">
      <c r="A220" s="9" t="s">
        <v>237</v>
      </c>
      <c r="B220" s="9" t="s">
        <v>16</v>
      </c>
      <c r="C220" s="9" t="s">
        <v>17</v>
      </c>
      <c r="D220" s="10">
        <v>44270</v>
      </c>
      <c r="E220" s="10" t="str">
        <f t="shared" si="29"/>
        <v>2021</v>
      </c>
      <c r="F220" s="10" t="str">
        <f t="shared" si="30"/>
        <v>Mar</v>
      </c>
      <c r="G220" s="10" t="str">
        <f t="shared" si="31"/>
        <v>Q1</v>
      </c>
      <c r="H220" s="11">
        <f t="shared" ca="1" si="28"/>
        <v>4</v>
      </c>
      <c r="I220" t="str">
        <f t="shared" ca="1" si="32"/>
        <v>Junior</v>
      </c>
      <c r="J220">
        <v>4</v>
      </c>
      <c r="K220" s="11">
        <v>1</v>
      </c>
      <c r="L220" s="11" t="str">
        <f t="shared" si="33"/>
        <v>Poor Performer</v>
      </c>
      <c r="M220" s="11">
        <v>54</v>
      </c>
      <c r="N220" s="11" t="str">
        <f t="shared" si="34"/>
        <v>Senior Professional</v>
      </c>
      <c r="O220" s="11">
        <f t="shared" si="35"/>
        <v>6</v>
      </c>
      <c r="P220" s="12">
        <v>1465132</v>
      </c>
      <c r="Q220" t="str">
        <f t="shared" si="36"/>
        <v>Low</v>
      </c>
    </row>
    <row r="221" spans="1:17" ht="12.5" x14ac:dyDescent="0.25">
      <c r="A221" s="9" t="s">
        <v>238</v>
      </c>
      <c r="B221" s="9" t="s">
        <v>36</v>
      </c>
      <c r="C221" s="9" t="s">
        <v>37</v>
      </c>
      <c r="D221" s="10">
        <v>45006</v>
      </c>
      <c r="E221" s="10" t="str">
        <f t="shared" si="29"/>
        <v>2023</v>
      </c>
      <c r="F221" s="10" t="str">
        <f t="shared" si="30"/>
        <v>Mar</v>
      </c>
      <c r="G221" s="10" t="str">
        <f t="shared" si="31"/>
        <v>Q1</v>
      </c>
      <c r="H221" s="11">
        <f t="shared" ca="1" si="28"/>
        <v>2</v>
      </c>
      <c r="I221" t="str">
        <f t="shared" ca="1" si="32"/>
        <v>Junior</v>
      </c>
      <c r="J221">
        <v>1</v>
      </c>
      <c r="K221" s="11">
        <v>2</v>
      </c>
      <c r="L221" s="11" t="str">
        <f t="shared" si="33"/>
        <v>Fair Performer</v>
      </c>
      <c r="M221" s="11">
        <v>19</v>
      </c>
      <c r="N221" s="11" t="str">
        <f t="shared" si="34"/>
        <v>Young Talent</v>
      </c>
      <c r="O221" s="11">
        <f t="shared" si="35"/>
        <v>41</v>
      </c>
      <c r="P221" s="12">
        <v>2486670</v>
      </c>
      <c r="Q221" t="str">
        <f t="shared" si="36"/>
        <v>Medium</v>
      </c>
    </row>
    <row r="222" spans="1:17" ht="12.5" x14ac:dyDescent="0.25">
      <c r="A222" s="9" t="s">
        <v>239</v>
      </c>
      <c r="B222" s="9" t="s">
        <v>49</v>
      </c>
      <c r="C222" s="9" t="s">
        <v>50</v>
      </c>
      <c r="D222" s="10">
        <v>41975</v>
      </c>
      <c r="E222" s="10" t="str">
        <f t="shared" si="29"/>
        <v>2014</v>
      </c>
      <c r="F222" s="10" t="str">
        <f t="shared" si="30"/>
        <v>Dec</v>
      </c>
      <c r="G222" s="10" t="str">
        <f t="shared" si="31"/>
        <v>Q4</v>
      </c>
      <c r="H222" s="11">
        <f t="shared" ca="1" si="28"/>
        <v>11</v>
      </c>
      <c r="I222" t="str">
        <f t="shared" ca="1" si="32"/>
        <v>Senior</v>
      </c>
      <c r="J222">
        <v>7</v>
      </c>
      <c r="K222" s="11">
        <v>2</v>
      </c>
      <c r="L222" s="11" t="str">
        <f t="shared" si="33"/>
        <v>Fair Performer</v>
      </c>
      <c r="M222" s="11">
        <v>42</v>
      </c>
      <c r="N222" s="11" t="str">
        <f t="shared" si="34"/>
        <v>Established Professional</v>
      </c>
      <c r="O222" s="11">
        <f t="shared" si="35"/>
        <v>18</v>
      </c>
      <c r="P222" s="12">
        <v>3515680</v>
      </c>
      <c r="Q222" t="str">
        <f t="shared" si="36"/>
        <v>High</v>
      </c>
    </row>
    <row r="223" spans="1:17" ht="12.5" x14ac:dyDescent="0.25">
      <c r="A223" s="9" t="s">
        <v>240</v>
      </c>
      <c r="B223" s="9" t="s">
        <v>7</v>
      </c>
      <c r="C223" s="9" t="s">
        <v>8</v>
      </c>
      <c r="D223" s="10">
        <v>44776</v>
      </c>
      <c r="E223" s="10" t="str">
        <f t="shared" si="29"/>
        <v>2022</v>
      </c>
      <c r="F223" s="10" t="str">
        <f t="shared" si="30"/>
        <v>Aug</v>
      </c>
      <c r="G223" s="10" t="str">
        <f t="shared" si="31"/>
        <v>Q3</v>
      </c>
      <c r="H223" s="11">
        <f t="shared" ca="1" si="28"/>
        <v>3</v>
      </c>
      <c r="I223" t="str">
        <f t="shared" ca="1" si="32"/>
        <v>Junior</v>
      </c>
      <c r="J223">
        <v>6</v>
      </c>
      <c r="K223" s="11">
        <v>2</v>
      </c>
      <c r="L223" s="11" t="str">
        <f t="shared" si="33"/>
        <v>Fair Performer</v>
      </c>
      <c r="M223" s="11">
        <v>43</v>
      </c>
      <c r="N223" s="11" t="str">
        <f t="shared" si="34"/>
        <v>Established Professional</v>
      </c>
      <c r="O223" s="11">
        <f t="shared" si="35"/>
        <v>17</v>
      </c>
      <c r="P223" s="12">
        <v>4043946</v>
      </c>
      <c r="Q223" t="str">
        <f t="shared" si="36"/>
        <v>High</v>
      </c>
    </row>
    <row r="224" spans="1:17" ht="12.5" x14ac:dyDescent="0.25">
      <c r="A224" s="9" t="s">
        <v>241</v>
      </c>
      <c r="B224" s="9" t="s">
        <v>7</v>
      </c>
      <c r="C224" s="9" t="s">
        <v>8</v>
      </c>
      <c r="D224" s="10">
        <v>40702</v>
      </c>
      <c r="E224" s="10" t="str">
        <f t="shared" si="29"/>
        <v>2011</v>
      </c>
      <c r="F224" s="10" t="str">
        <f t="shared" si="30"/>
        <v>Jun</v>
      </c>
      <c r="G224" s="10" t="str">
        <f t="shared" si="31"/>
        <v>Q2</v>
      </c>
      <c r="H224" s="11">
        <f t="shared" ca="1" si="28"/>
        <v>14</v>
      </c>
      <c r="I224" t="str">
        <f t="shared" ca="1" si="32"/>
        <v>Senior</v>
      </c>
      <c r="J224">
        <v>4</v>
      </c>
      <c r="K224" s="11">
        <v>5</v>
      </c>
      <c r="L224" s="11" t="str">
        <f t="shared" si="33"/>
        <v>Excellent Performer</v>
      </c>
      <c r="M224" s="11">
        <v>27</v>
      </c>
      <c r="N224" s="11" t="str">
        <f t="shared" si="34"/>
        <v>Emerging Professional</v>
      </c>
      <c r="O224" s="11">
        <f t="shared" si="35"/>
        <v>33</v>
      </c>
      <c r="P224" s="12">
        <v>3882592</v>
      </c>
      <c r="Q224" t="str">
        <f t="shared" si="36"/>
        <v>High</v>
      </c>
    </row>
    <row r="225" spans="1:17" ht="12.5" x14ac:dyDescent="0.25">
      <c r="A225" s="9" t="s">
        <v>242</v>
      </c>
      <c r="B225" s="9" t="s">
        <v>7</v>
      </c>
      <c r="C225" s="9" t="s">
        <v>8</v>
      </c>
      <c r="D225" s="10">
        <v>38530</v>
      </c>
      <c r="E225" s="10" t="str">
        <f t="shared" si="29"/>
        <v>2005</v>
      </c>
      <c r="F225" s="10" t="str">
        <f t="shared" si="30"/>
        <v>Jun</v>
      </c>
      <c r="G225" s="10" t="str">
        <f t="shared" si="31"/>
        <v>Q2</v>
      </c>
      <c r="H225" s="11">
        <f t="shared" ca="1" si="28"/>
        <v>20</v>
      </c>
      <c r="I225" t="str">
        <f t="shared" ca="1" si="32"/>
        <v>Senior</v>
      </c>
      <c r="J225">
        <v>7</v>
      </c>
      <c r="K225" s="11">
        <v>3</v>
      </c>
      <c r="L225" s="11" t="str">
        <f t="shared" si="33"/>
        <v>Average Performer</v>
      </c>
      <c r="M225" s="11">
        <v>48</v>
      </c>
      <c r="N225" s="11" t="str">
        <f t="shared" si="34"/>
        <v>Senior Professional</v>
      </c>
      <c r="O225" s="11">
        <f t="shared" si="35"/>
        <v>12</v>
      </c>
      <c r="P225" s="12">
        <v>1488649</v>
      </c>
      <c r="Q225" t="str">
        <f t="shared" si="36"/>
        <v>Low</v>
      </c>
    </row>
    <row r="226" spans="1:17" ht="12.5" x14ac:dyDescent="0.25">
      <c r="A226" s="9" t="s">
        <v>243</v>
      </c>
      <c r="B226" s="9" t="s">
        <v>10</v>
      </c>
      <c r="C226" s="9" t="s">
        <v>11</v>
      </c>
      <c r="D226" s="10">
        <v>44340</v>
      </c>
      <c r="E226" s="10" t="str">
        <f t="shared" si="29"/>
        <v>2021</v>
      </c>
      <c r="F226" s="10" t="str">
        <f t="shared" si="30"/>
        <v>May</v>
      </c>
      <c r="G226" s="10" t="str">
        <f t="shared" si="31"/>
        <v>Q2</v>
      </c>
      <c r="H226" s="11">
        <f t="shared" ca="1" si="28"/>
        <v>4</v>
      </c>
      <c r="I226" t="str">
        <f t="shared" ca="1" si="32"/>
        <v>Junior</v>
      </c>
      <c r="J226">
        <v>6</v>
      </c>
      <c r="K226" s="11">
        <v>3</v>
      </c>
      <c r="L226" s="11" t="str">
        <f t="shared" si="33"/>
        <v>Average Performer</v>
      </c>
      <c r="M226" s="11">
        <v>32</v>
      </c>
      <c r="N226" s="11" t="str">
        <f t="shared" si="34"/>
        <v>Emerging Professional</v>
      </c>
      <c r="O226" s="11">
        <f t="shared" si="35"/>
        <v>28</v>
      </c>
      <c r="P226" s="12">
        <v>716521</v>
      </c>
      <c r="Q226" t="str">
        <f t="shared" si="36"/>
        <v>Low</v>
      </c>
    </row>
    <row r="227" spans="1:17" ht="12.5" x14ac:dyDescent="0.25">
      <c r="A227" s="9" t="s">
        <v>244</v>
      </c>
      <c r="B227" s="9" t="s">
        <v>13</v>
      </c>
      <c r="C227" s="9" t="s">
        <v>14</v>
      </c>
      <c r="D227" s="10">
        <v>40624</v>
      </c>
      <c r="E227" s="10" t="str">
        <f t="shared" si="29"/>
        <v>2011</v>
      </c>
      <c r="F227" s="10" t="str">
        <f t="shared" si="30"/>
        <v>Mar</v>
      </c>
      <c r="G227" s="10" t="str">
        <f t="shared" si="31"/>
        <v>Q1</v>
      </c>
      <c r="H227" s="11">
        <f t="shared" ca="1" si="28"/>
        <v>14</v>
      </c>
      <c r="I227" t="str">
        <f t="shared" ca="1" si="32"/>
        <v>Senior</v>
      </c>
      <c r="J227">
        <v>2</v>
      </c>
      <c r="K227" s="11">
        <v>1</v>
      </c>
      <c r="L227" s="11" t="str">
        <f t="shared" si="33"/>
        <v>Poor Performer</v>
      </c>
      <c r="M227" s="11">
        <v>20</v>
      </c>
      <c r="N227" s="11" t="str">
        <f t="shared" si="34"/>
        <v>Young Talent</v>
      </c>
      <c r="O227" s="11">
        <f t="shared" si="35"/>
        <v>40</v>
      </c>
      <c r="P227" s="12">
        <v>2504898</v>
      </c>
      <c r="Q227" t="str">
        <f t="shared" si="36"/>
        <v>Medium</v>
      </c>
    </row>
    <row r="228" spans="1:17" ht="12.5" x14ac:dyDescent="0.25">
      <c r="A228" s="9" t="s">
        <v>245</v>
      </c>
      <c r="B228" s="9" t="s">
        <v>7</v>
      </c>
      <c r="C228" s="9" t="s">
        <v>8</v>
      </c>
      <c r="D228" s="10">
        <v>40507</v>
      </c>
      <c r="E228" s="10" t="str">
        <f t="shared" si="29"/>
        <v>2010</v>
      </c>
      <c r="F228" s="10" t="str">
        <f t="shared" si="30"/>
        <v>Nov</v>
      </c>
      <c r="G228" s="10" t="str">
        <f t="shared" si="31"/>
        <v>Q4</v>
      </c>
      <c r="H228" s="11">
        <f t="shared" ca="1" si="28"/>
        <v>15</v>
      </c>
      <c r="I228" t="str">
        <f t="shared" ca="1" si="32"/>
        <v>Senior</v>
      </c>
      <c r="J228">
        <v>4</v>
      </c>
      <c r="K228" s="11">
        <v>4</v>
      </c>
      <c r="L228" s="11" t="str">
        <f t="shared" si="33"/>
        <v>Good Performer</v>
      </c>
      <c r="M228" s="11">
        <v>54</v>
      </c>
      <c r="N228" s="11" t="str">
        <f t="shared" si="34"/>
        <v>Senior Professional</v>
      </c>
      <c r="O228" s="11">
        <f t="shared" si="35"/>
        <v>6</v>
      </c>
      <c r="P228" s="12">
        <v>4493551</v>
      </c>
      <c r="Q228" t="str">
        <f t="shared" si="36"/>
        <v>High</v>
      </c>
    </row>
    <row r="229" spans="1:17" ht="12.5" x14ac:dyDescent="0.25">
      <c r="A229" s="9" t="s">
        <v>246</v>
      </c>
      <c r="B229" s="9" t="s">
        <v>4</v>
      </c>
      <c r="C229" s="9" t="s">
        <v>5</v>
      </c>
      <c r="D229" s="10">
        <v>39444</v>
      </c>
      <c r="E229" s="10" t="str">
        <f t="shared" si="29"/>
        <v>2007</v>
      </c>
      <c r="F229" s="10" t="str">
        <f t="shared" si="30"/>
        <v>Dec</v>
      </c>
      <c r="G229" s="10" t="str">
        <f t="shared" si="31"/>
        <v>Q4</v>
      </c>
      <c r="H229" s="11">
        <f t="shared" ca="1" si="28"/>
        <v>18</v>
      </c>
      <c r="I229" t="str">
        <f t="shared" ca="1" si="32"/>
        <v>Senior</v>
      </c>
      <c r="J229">
        <v>6</v>
      </c>
      <c r="K229" s="11">
        <v>3</v>
      </c>
      <c r="L229" s="11" t="str">
        <f t="shared" si="33"/>
        <v>Average Performer</v>
      </c>
      <c r="M229" s="11">
        <v>42</v>
      </c>
      <c r="N229" s="11" t="str">
        <f t="shared" si="34"/>
        <v>Established Professional</v>
      </c>
      <c r="O229" s="11">
        <f t="shared" si="35"/>
        <v>18</v>
      </c>
      <c r="P229" s="12">
        <v>5496072</v>
      </c>
      <c r="Q229" t="str">
        <f t="shared" si="36"/>
        <v>Very High</v>
      </c>
    </row>
    <row r="230" spans="1:17" ht="12.5" x14ac:dyDescent="0.25">
      <c r="A230" s="9" t="s">
        <v>247</v>
      </c>
      <c r="B230" s="9" t="s">
        <v>16</v>
      </c>
      <c r="C230" s="9" t="s">
        <v>17</v>
      </c>
      <c r="D230" s="10">
        <v>43298</v>
      </c>
      <c r="E230" s="10" t="str">
        <f t="shared" si="29"/>
        <v>2018</v>
      </c>
      <c r="F230" s="10" t="str">
        <f t="shared" si="30"/>
        <v>Jul</v>
      </c>
      <c r="G230" s="10" t="str">
        <f t="shared" si="31"/>
        <v>Q3</v>
      </c>
      <c r="H230" s="11">
        <f t="shared" ca="1" si="28"/>
        <v>7</v>
      </c>
      <c r="I230" t="str">
        <f t="shared" ca="1" si="32"/>
        <v>Established</v>
      </c>
      <c r="J230">
        <v>6</v>
      </c>
      <c r="K230" s="11">
        <v>1</v>
      </c>
      <c r="L230" s="11" t="str">
        <f t="shared" si="33"/>
        <v>Poor Performer</v>
      </c>
      <c r="M230" s="11">
        <v>31</v>
      </c>
      <c r="N230" s="11" t="str">
        <f t="shared" si="34"/>
        <v>Emerging Professional</v>
      </c>
      <c r="O230" s="11">
        <f t="shared" si="35"/>
        <v>29</v>
      </c>
      <c r="P230" s="12">
        <v>4517660</v>
      </c>
      <c r="Q230" t="str">
        <f t="shared" si="36"/>
        <v>High</v>
      </c>
    </row>
    <row r="231" spans="1:17" ht="12.5" x14ac:dyDescent="0.25">
      <c r="A231" s="9" t="s">
        <v>248</v>
      </c>
      <c r="B231" s="9" t="s">
        <v>13</v>
      </c>
      <c r="C231" s="9" t="s">
        <v>14</v>
      </c>
      <c r="D231" s="10">
        <v>43134</v>
      </c>
      <c r="E231" s="10" t="str">
        <f t="shared" si="29"/>
        <v>2018</v>
      </c>
      <c r="F231" s="10" t="str">
        <f t="shared" si="30"/>
        <v>Feb</v>
      </c>
      <c r="G231" s="10" t="str">
        <f t="shared" si="31"/>
        <v>Q1</v>
      </c>
      <c r="H231" s="11">
        <f t="shared" ca="1" si="28"/>
        <v>7</v>
      </c>
      <c r="I231" t="str">
        <f t="shared" ca="1" si="32"/>
        <v>Established</v>
      </c>
      <c r="J231">
        <v>2</v>
      </c>
      <c r="K231" s="11">
        <v>4</v>
      </c>
      <c r="L231" s="11" t="str">
        <f t="shared" si="33"/>
        <v>Good Performer</v>
      </c>
      <c r="M231" s="11">
        <v>29</v>
      </c>
      <c r="N231" s="11" t="str">
        <f t="shared" si="34"/>
        <v>Emerging Professional</v>
      </c>
      <c r="O231" s="11">
        <f t="shared" si="35"/>
        <v>31</v>
      </c>
      <c r="P231" s="12">
        <v>1099801</v>
      </c>
      <c r="Q231" t="str">
        <f t="shared" si="36"/>
        <v>Low</v>
      </c>
    </row>
    <row r="232" spans="1:17" ht="12.5" x14ac:dyDescent="0.25">
      <c r="A232" s="9" t="s">
        <v>249</v>
      </c>
      <c r="B232" s="9" t="s">
        <v>4</v>
      </c>
      <c r="C232" s="9" t="s">
        <v>5</v>
      </c>
      <c r="D232" s="10">
        <v>38330</v>
      </c>
      <c r="E232" s="10" t="str">
        <f t="shared" si="29"/>
        <v>2004</v>
      </c>
      <c r="F232" s="10" t="str">
        <f t="shared" si="30"/>
        <v>Dec</v>
      </c>
      <c r="G232" s="10" t="str">
        <f t="shared" si="31"/>
        <v>Q4</v>
      </c>
      <c r="H232" s="11">
        <f t="shared" ca="1" si="28"/>
        <v>21</v>
      </c>
      <c r="I232" t="str">
        <f t="shared" ca="1" si="32"/>
        <v>Senior</v>
      </c>
      <c r="J232">
        <v>1</v>
      </c>
      <c r="K232" s="11">
        <v>3</v>
      </c>
      <c r="L232" s="11" t="str">
        <f t="shared" si="33"/>
        <v>Average Performer</v>
      </c>
      <c r="M232" s="11">
        <v>44</v>
      </c>
      <c r="N232" s="11" t="str">
        <f t="shared" si="34"/>
        <v>Established Professional</v>
      </c>
      <c r="O232" s="11">
        <f t="shared" si="35"/>
        <v>16</v>
      </c>
      <c r="P232" s="12">
        <v>4001232</v>
      </c>
      <c r="Q232" t="str">
        <f t="shared" si="36"/>
        <v>High</v>
      </c>
    </row>
    <row r="233" spans="1:17" ht="12.5" x14ac:dyDescent="0.25">
      <c r="A233" s="9" t="s">
        <v>250</v>
      </c>
      <c r="B233" s="9" t="s">
        <v>20</v>
      </c>
      <c r="C233" s="9" t="s">
        <v>21</v>
      </c>
      <c r="D233" s="10">
        <v>42866</v>
      </c>
      <c r="E233" s="10" t="str">
        <f t="shared" si="29"/>
        <v>2017</v>
      </c>
      <c r="F233" s="10" t="str">
        <f t="shared" si="30"/>
        <v>May</v>
      </c>
      <c r="G233" s="10" t="str">
        <f t="shared" si="31"/>
        <v>Q2</v>
      </c>
      <c r="H233" s="11">
        <f t="shared" ca="1" si="28"/>
        <v>8</v>
      </c>
      <c r="I233" t="str">
        <f t="shared" ca="1" si="32"/>
        <v>Established</v>
      </c>
      <c r="J233">
        <v>5</v>
      </c>
      <c r="K233" s="11">
        <v>5</v>
      </c>
      <c r="L233" s="11" t="str">
        <f t="shared" si="33"/>
        <v>Excellent Performer</v>
      </c>
      <c r="M233" s="11">
        <v>52</v>
      </c>
      <c r="N233" s="11" t="str">
        <f t="shared" si="34"/>
        <v>Senior Professional</v>
      </c>
      <c r="O233" s="11">
        <f t="shared" si="35"/>
        <v>8</v>
      </c>
      <c r="P233" s="12">
        <v>1774167</v>
      </c>
      <c r="Q233" t="str">
        <f t="shared" si="36"/>
        <v>Low</v>
      </c>
    </row>
    <row r="234" spans="1:17" ht="12.5" x14ac:dyDescent="0.25">
      <c r="A234" s="9" t="s">
        <v>251</v>
      </c>
      <c r="B234" s="9" t="s">
        <v>13</v>
      </c>
      <c r="C234" s="9" t="s">
        <v>14</v>
      </c>
      <c r="D234" s="10">
        <v>41749</v>
      </c>
      <c r="E234" s="10" t="str">
        <f t="shared" si="29"/>
        <v>2014</v>
      </c>
      <c r="F234" s="10" t="str">
        <f t="shared" si="30"/>
        <v>Apr</v>
      </c>
      <c r="G234" s="10" t="str">
        <f t="shared" si="31"/>
        <v>Q2</v>
      </c>
      <c r="H234" s="11">
        <f t="shared" ca="1" si="28"/>
        <v>11</v>
      </c>
      <c r="I234" t="str">
        <f t="shared" ca="1" si="32"/>
        <v>Senior</v>
      </c>
      <c r="J234">
        <v>4</v>
      </c>
      <c r="K234" s="11">
        <v>5</v>
      </c>
      <c r="L234" s="11" t="str">
        <f t="shared" si="33"/>
        <v>Excellent Performer</v>
      </c>
      <c r="M234" s="11">
        <v>49</v>
      </c>
      <c r="N234" s="11" t="str">
        <f t="shared" si="34"/>
        <v>Senior Professional</v>
      </c>
      <c r="O234" s="11">
        <f t="shared" si="35"/>
        <v>11</v>
      </c>
      <c r="P234" s="12">
        <v>1106198</v>
      </c>
      <c r="Q234" t="str">
        <f t="shared" si="36"/>
        <v>Low</v>
      </c>
    </row>
    <row r="235" spans="1:17" ht="12.5" x14ac:dyDescent="0.25">
      <c r="A235" s="9" t="s">
        <v>252</v>
      </c>
      <c r="B235" s="9" t="s">
        <v>7</v>
      </c>
      <c r="C235" s="9" t="s">
        <v>8</v>
      </c>
      <c r="D235" s="10">
        <v>41704</v>
      </c>
      <c r="E235" s="10" t="str">
        <f t="shared" si="29"/>
        <v>2014</v>
      </c>
      <c r="F235" s="10" t="str">
        <f t="shared" si="30"/>
        <v>Mar</v>
      </c>
      <c r="G235" s="10" t="str">
        <f t="shared" si="31"/>
        <v>Q1</v>
      </c>
      <c r="H235" s="11">
        <f t="shared" ca="1" si="28"/>
        <v>11</v>
      </c>
      <c r="I235" t="str">
        <f t="shared" ca="1" si="32"/>
        <v>Senior</v>
      </c>
      <c r="J235">
        <v>4</v>
      </c>
      <c r="K235" s="11">
        <v>4</v>
      </c>
      <c r="L235" s="11" t="str">
        <f t="shared" si="33"/>
        <v>Good Performer</v>
      </c>
      <c r="M235" s="11">
        <v>35</v>
      </c>
      <c r="N235" s="11" t="str">
        <f t="shared" si="34"/>
        <v>Established Professional</v>
      </c>
      <c r="O235" s="11">
        <f t="shared" si="35"/>
        <v>25</v>
      </c>
      <c r="P235" s="12">
        <v>1590707</v>
      </c>
      <c r="Q235" t="str">
        <f t="shared" si="36"/>
        <v>Low</v>
      </c>
    </row>
    <row r="236" spans="1:17" ht="12.5" x14ac:dyDescent="0.25">
      <c r="A236" s="9" t="s">
        <v>253</v>
      </c>
      <c r="B236" s="9" t="s">
        <v>36</v>
      </c>
      <c r="C236" s="9" t="s">
        <v>37</v>
      </c>
      <c r="D236" s="10">
        <v>43553</v>
      </c>
      <c r="E236" s="10" t="str">
        <f t="shared" si="29"/>
        <v>2019</v>
      </c>
      <c r="F236" s="10" t="str">
        <f t="shared" si="30"/>
        <v>Mar</v>
      </c>
      <c r="G236" s="10" t="str">
        <f t="shared" si="31"/>
        <v>Q1</v>
      </c>
      <c r="H236" s="11">
        <f t="shared" ca="1" si="28"/>
        <v>6</v>
      </c>
      <c r="I236" t="str">
        <f t="shared" ca="1" si="32"/>
        <v>Established</v>
      </c>
      <c r="J236">
        <v>1</v>
      </c>
      <c r="K236" s="11">
        <v>3</v>
      </c>
      <c r="L236" s="11" t="str">
        <f t="shared" si="33"/>
        <v>Average Performer</v>
      </c>
      <c r="M236" s="11">
        <v>39</v>
      </c>
      <c r="N236" s="11" t="str">
        <f t="shared" si="34"/>
        <v>Established Professional</v>
      </c>
      <c r="O236" s="11">
        <f t="shared" si="35"/>
        <v>21</v>
      </c>
      <c r="P236" s="12">
        <v>5212540</v>
      </c>
      <c r="Q236" t="str">
        <f t="shared" si="36"/>
        <v>Very High</v>
      </c>
    </row>
    <row r="237" spans="1:17" ht="12.5" x14ac:dyDescent="0.25">
      <c r="A237" s="9" t="s">
        <v>254</v>
      </c>
      <c r="B237" s="9" t="s">
        <v>13</v>
      </c>
      <c r="C237" s="9" t="s">
        <v>14</v>
      </c>
      <c r="D237" s="10">
        <v>39770</v>
      </c>
      <c r="E237" s="10" t="str">
        <f t="shared" si="29"/>
        <v>2008</v>
      </c>
      <c r="F237" s="10" t="str">
        <f t="shared" si="30"/>
        <v>Nov</v>
      </c>
      <c r="G237" s="10" t="str">
        <f t="shared" si="31"/>
        <v>Q4</v>
      </c>
      <c r="H237" s="11">
        <f t="shared" ca="1" si="28"/>
        <v>17</v>
      </c>
      <c r="I237" t="str">
        <f t="shared" ca="1" si="32"/>
        <v>Senior</v>
      </c>
      <c r="J237">
        <v>2</v>
      </c>
      <c r="K237" s="11">
        <v>3</v>
      </c>
      <c r="L237" s="11" t="str">
        <f t="shared" si="33"/>
        <v>Average Performer</v>
      </c>
      <c r="M237" s="11">
        <v>43</v>
      </c>
      <c r="N237" s="11" t="str">
        <f t="shared" si="34"/>
        <v>Established Professional</v>
      </c>
      <c r="O237" s="11">
        <f t="shared" si="35"/>
        <v>17</v>
      </c>
      <c r="P237" s="12">
        <v>2706308</v>
      </c>
      <c r="Q237" t="str">
        <f t="shared" si="36"/>
        <v>Medium</v>
      </c>
    </row>
    <row r="238" spans="1:17" ht="12.5" x14ac:dyDescent="0.25">
      <c r="A238" s="9" t="s">
        <v>255</v>
      </c>
      <c r="B238" s="9" t="s">
        <v>7</v>
      </c>
      <c r="C238" s="9" t="s">
        <v>8</v>
      </c>
      <c r="D238" s="10">
        <v>38424</v>
      </c>
      <c r="E238" s="10" t="str">
        <f t="shared" si="29"/>
        <v>2005</v>
      </c>
      <c r="F238" s="10" t="str">
        <f t="shared" si="30"/>
        <v>Mar</v>
      </c>
      <c r="G238" s="10" t="str">
        <f t="shared" si="31"/>
        <v>Q1</v>
      </c>
      <c r="H238" s="11">
        <f t="shared" ca="1" si="28"/>
        <v>20</v>
      </c>
      <c r="I238" t="str">
        <f t="shared" ca="1" si="32"/>
        <v>Senior</v>
      </c>
      <c r="J238">
        <v>1</v>
      </c>
      <c r="K238" s="11">
        <v>2</v>
      </c>
      <c r="L238" s="11" t="str">
        <f t="shared" si="33"/>
        <v>Fair Performer</v>
      </c>
      <c r="M238" s="11">
        <v>32</v>
      </c>
      <c r="N238" s="11" t="str">
        <f t="shared" si="34"/>
        <v>Emerging Professional</v>
      </c>
      <c r="O238" s="11">
        <f t="shared" si="35"/>
        <v>28</v>
      </c>
      <c r="P238" s="12">
        <v>1720535</v>
      </c>
      <c r="Q238" t="str">
        <f t="shared" si="36"/>
        <v>Low</v>
      </c>
    </row>
    <row r="239" spans="1:17" ht="12.5" x14ac:dyDescent="0.25">
      <c r="A239" s="9" t="s">
        <v>256</v>
      </c>
      <c r="B239" s="9" t="s">
        <v>10</v>
      </c>
      <c r="C239" s="9" t="s">
        <v>11</v>
      </c>
      <c r="D239" s="10">
        <v>42257</v>
      </c>
      <c r="E239" s="10" t="str">
        <f t="shared" si="29"/>
        <v>2015</v>
      </c>
      <c r="F239" s="10" t="str">
        <f t="shared" si="30"/>
        <v>Sep</v>
      </c>
      <c r="G239" s="10" t="str">
        <f t="shared" si="31"/>
        <v>Q3</v>
      </c>
      <c r="H239" s="11">
        <f t="shared" ca="1" si="28"/>
        <v>10</v>
      </c>
      <c r="I239" t="str">
        <f t="shared" ca="1" si="32"/>
        <v>Senior</v>
      </c>
      <c r="J239">
        <v>3</v>
      </c>
      <c r="K239" s="11">
        <v>5</v>
      </c>
      <c r="L239" s="11" t="str">
        <f t="shared" si="33"/>
        <v>Excellent Performer</v>
      </c>
      <c r="M239" s="11">
        <v>48</v>
      </c>
      <c r="N239" s="11" t="str">
        <f t="shared" si="34"/>
        <v>Senior Professional</v>
      </c>
      <c r="O239" s="11">
        <f t="shared" si="35"/>
        <v>12</v>
      </c>
      <c r="P239" s="12">
        <v>477573</v>
      </c>
      <c r="Q239" t="str">
        <f t="shared" si="36"/>
        <v>Low</v>
      </c>
    </row>
    <row r="240" spans="1:17" ht="12.5" x14ac:dyDescent="0.25">
      <c r="A240" s="9" t="s">
        <v>257</v>
      </c>
      <c r="B240" s="9" t="s">
        <v>20</v>
      </c>
      <c r="C240" s="9" t="s">
        <v>21</v>
      </c>
      <c r="D240" s="10">
        <v>41853</v>
      </c>
      <c r="E240" s="10" t="str">
        <f t="shared" si="29"/>
        <v>2014</v>
      </c>
      <c r="F240" s="10" t="str">
        <f t="shared" si="30"/>
        <v>Aug</v>
      </c>
      <c r="G240" s="10" t="str">
        <f t="shared" si="31"/>
        <v>Q3</v>
      </c>
      <c r="H240" s="11">
        <f t="shared" ca="1" si="28"/>
        <v>11</v>
      </c>
      <c r="I240" t="str">
        <f t="shared" ca="1" si="32"/>
        <v>Senior</v>
      </c>
      <c r="J240">
        <v>6</v>
      </c>
      <c r="K240" s="11">
        <v>1</v>
      </c>
      <c r="L240" s="11" t="str">
        <f t="shared" si="33"/>
        <v>Poor Performer</v>
      </c>
      <c r="M240" s="11">
        <v>54</v>
      </c>
      <c r="N240" s="11" t="str">
        <f t="shared" si="34"/>
        <v>Senior Professional</v>
      </c>
      <c r="O240" s="11">
        <f t="shared" si="35"/>
        <v>6</v>
      </c>
      <c r="P240" s="12">
        <v>3494037</v>
      </c>
      <c r="Q240" t="str">
        <f t="shared" si="36"/>
        <v>High</v>
      </c>
    </row>
    <row r="241" spans="1:17" ht="12.5" x14ac:dyDescent="0.25">
      <c r="A241" s="9" t="s">
        <v>258</v>
      </c>
      <c r="B241" s="9" t="s">
        <v>20</v>
      </c>
      <c r="C241" s="9" t="s">
        <v>21</v>
      </c>
      <c r="D241" s="10">
        <v>42523</v>
      </c>
      <c r="E241" s="10" t="str">
        <f t="shared" si="29"/>
        <v>2016</v>
      </c>
      <c r="F241" s="10" t="str">
        <f t="shared" si="30"/>
        <v>Jun</v>
      </c>
      <c r="G241" s="10" t="str">
        <f t="shared" si="31"/>
        <v>Q2</v>
      </c>
      <c r="H241" s="11">
        <f t="shared" ca="1" si="28"/>
        <v>9</v>
      </c>
      <c r="I241" t="str">
        <f t="shared" ca="1" si="32"/>
        <v>Established</v>
      </c>
      <c r="J241">
        <v>6</v>
      </c>
      <c r="K241" s="11">
        <v>2</v>
      </c>
      <c r="L241" s="11" t="str">
        <f t="shared" si="33"/>
        <v>Fair Performer</v>
      </c>
      <c r="M241" s="11">
        <v>27</v>
      </c>
      <c r="N241" s="11" t="str">
        <f t="shared" si="34"/>
        <v>Emerging Professional</v>
      </c>
      <c r="O241" s="11">
        <f t="shared" si="35"/>
        <v>33</v>
      </c>
      <c r="P241" s="12">
        <v>3851015</v>
      </c>
      <c r="Q241" t="str">
        <f t="shared" si="36"/>
        <v>High</v>
      </c>
    </row>
    <row r="242" spans="1:17" ht="12.5" x14ac:dyDescent="0.25">
      <c r="A242" s="9" t="s">
        <v>259</v>
      </c>
      <c r="B242" s="9" t="s">
        <v>4</v>
      </c>
      <c r="C242" s="9" t="s">
        <v>5</v>
      </c>
      <c r="D242" s="10">
        <v>41539</v>
      </c>
      <c r="E242" s="10" t="str">
        <f t="shared" si="29"/>
        <v>2013</v>
      </c>
      <c r="F242" s="10" t="str">
        <f t="shared" si="30"/>
        <v>Sep</v>
      </c>
      <c r="G242" s="10" t="str">
        <f t="shared" si="31"/>
        <v>Q3</v>
      </c>
      <c r="H242" s="11">
        <f t="shared" ca="1" si="28"/>
        <v>12</v>
      </c>
      <c r="I242" t="str">
        <f t="shared" ca="1" si="32"/>
        <v>Senior</v>
      </c>
      <c r="J242">
        <v>5</v>
      </c>
      <c r="K242" s="11">
        <v>1</v>
      </c>
      <c r="L242" s="11" t="str">
        <f t="shared" si="33"/>
        <v>Poor Performer</v>
      </c>
      <c r="M242" s="11">
        <v>21</v>
      </c>
      <c r="N242" s="11" t="str">
        <f t="shared" si="34"/>
        <v>Young Talent</v>
      </c>
      <c r="O242" s="11">
        <f t="shared" si="35"/>
        <v>39</v>
      </c>
      <c r="P242" s="12">
        <v>1714572</v>
      </c>
      <c r="Q242" t="str">
        <f t="shared" si="36"/>
        <v>Low</v>
      </c>
    </row>
    <row r="243" spans="1:17" ht="12.5" x14ac:dyDescent="0.25">
      <c r="A243" s="9" t="s">
        <v>260</v>
      </c>
      <c r="B243" s="9" t="s">
        <v>7</v>
      </c>
      <c r="C243" s="9" t="s">
        <v>8</v>
      </c>
      <c r="D243" s="10">
        <v>44948</v>
      </c>
      <c r="E243" s="10" t="str">
        <f t="shared" si="29"/>
        <v>2023</v>
      </c>
      <c r="F243" s="10" t="str">
        <f t="shared" si="30"/>
        <v>Jan</v>
      </c>
      <c r="G243" s="10" t="str">
        <f t="shared" si="31"/>
        <v>Q1</v>
      </c>
      <c r="H243" s="11">
        <f t="shared" ca="1" si="28"/>
        <v>2</v>
      </c>
      <c r="I243" t="str">
        <f t="shared" ca="1" si="32"/>
        <v>Junior</v>
      </c>
      <c r="J243">
        <v>1</v>
      </c>
      <c r="K243" s="11">
        <v>3</v>
      </c>
      <c r="L243" s="11" t="str">
        <f t="shared" si="33"/>
        <v>Average Performer</v>
      </c>
      <c r="M243" s="11">
        <v>38</v>
      </c>
      <c r="N243" s="11" t="str">
        <f t="shared" si="34"/>
        <v>Established Professional</v>
      </c>
      <c r="O243" s="11">
        <f t="shared" si="35"/>
        <v>22</v>
      </c>
      <c r="P243" s="12">
        <v>2799874</v>
      </c>
      <c r="Q243" t="str">
        <f t="shared" si="36"/>
        <v>Medium</v>
      </c>
    </row>
    <row r="244" spans="1:17" ht="12.5" x14ac:dyDescent="0.25">
      <c r="A244" s="9" t="s">
        <v>261</v>
      </c>
      <c r="B244" s="9" t="s">
        <v>16</v>
      </c>
      <c r="C244" s="9" t="s">
        <v>17</v>
      </c>
      <c r="D244" s="10">
        <v>39854</v>
      </c>
      <c r="E244" s="10" t="str">
        <f t="shared" si="29"/>
        <v>2009</v>
      </c>
      <c r="F244" s="10" t="str">
        <f t="shared" si="30"/>
        <v>Feb</v>
      </c>
      <c r="G244" s="10" t="str">
        <f t="shared" si="31"/>
        <v>Q1</v>
      </c>
      <c r="H244" s="11">
        <f t="shared" ca="1" si="28"/>
        <v>16</v>
      </c>
      <c r="I244" t="str">
        <f t="shared" ca="1" si="32"/>
        <v>Senior</v>
      </c>
      <c r="J244">
        <v>4</v>
      </c>
      <c r="K244" s="11">
        <v>2</v>
      </c>
      <c r="L244" s="11" t="str">
        <f t="shared" si="33"/>
        <v>Fair Performer</v>
      </c>
      <c r="M244" s="11">
        <v>23</v>
      </c>
      <c r="N244" s="11" t="str">
        <f t="shared" si="34"/>
        <v>Young Talent</v>
      </c>
      <c r="O244" s="11">
        <f t="shared" si="35"/>
        <v>37</v>
      </c>
      <c r="P244" s="12">
        <v>5313031</v>
      </c>
      <c r="Q244" t="str">
        <f t="shared" si="36"/>
        <v>Very High</v>
      </c>
    </row>
    <row r="245" spans="1:17" ht="12.5" x14ac:dyDescent="0.25">
      <c r="A245" s="9" t="s">
        <v>262</v>
      </c>
      <c r="B245" s="9" t="s">
        <v>36</v>
      </c>
      <c r="C245" s="9" t="s">
        <v>37</v>
      </c>
      <c r="D245" s="10">
        <v>44483</v>
      </c>
      <c r="E245" s="10" t="str">
        <f t="shared" si="29"/>
        <v>2021</v>
      </c>
      <c r="F245" s="10" t="str">
        <f t="shared" si="30"/>
        <v>Oct</v>
      </c>
      <c r="G245" s="10" t="str">
        <f t="shared" si="31"/>
        <v>Q4</v>
      </c>
      <c r="H245" s="11">
        <f t="shared" ca="1" si="28"/>
        <v>4</v>
      </c>
      <c r="I245" t="str">
        <f t="shared" ca="1" si="32"/>
        <v>Junior</v>
      </c>
      <c r="J245">
        <v>3</v>
      </c>
      <c r="K245" s="11">
        <v>2</v>
      </c>
      <c r="L245" s="11" t="str">
        <f t="shared" si="33"/>
        <v>Fair Performer</v>
      </c>
      <c r="M245" s="11">
        <v>31</v>
      </c>
      <c r="N245" s="11" t="str">
        <f t="shared" si="34"/>
        <v>Emerging Professional</v>
      </c>
      <c r="O245" s="11">
        <f t="shared" si="35"/>
        <v>29</v>
      </c>
      <c r="P245" s="12">
        <v>5351966</v>
      </c>
      <c r="Q245" t="str">
        <f t="shared" si="36"/>
        <v>Very High</v>
      </c>
    </row>
    <row r="246" spans="1:17" ht="12.5" x14ac:dyDescent="0.25">
      <c r="A246" s="9" t="s">
        <v>263</v>
      </c>
      <c r="B246" s="9" t="s">
        <v>49</v>
      </c>
      <c r="C246" s="9" t="s">
        <v>50</v>
      </c>
      <c r="D246" s="10">
        <v>42954</v>
      </c>
      <c r="E246" s="10" t="str">
        <f t="shared" si="29"/>
        <v>2017</v>
      </c>
      <c r="F246" s="10" t="str">
        <f t="shared" si="30"/>
        <v>Aug</v>
      </c>
      <c r="G246" s="10" t="str">
        <f t="shared" si="31"/>
        <v>Q3</v>
      </c>
      <c r="H246" s="11">
        <f t="shared" ca="1" si="28"/>
        <v>8</v>
      </c>
      <c r="I246" t="str">
        <f t="shared" ca="1" si="32"/>
        <v>Established</v>
      </c>
      <c r="J246">
        <v>1</v>
      </c>
      <c r="K246" s="11">
        <v>5</v>
      </c>
      <c r="L246" s="11" t="str">
        <f t="shared" si="33"/>
        <v>Excellent Performer</v>
      </c>
      <c r="M246" s="11">
        <v>48</v>
      </c>
      <c r="N246" s="11" t="str">
        <f t="shared" si="34"/>
        <v>Senior Professional</v>
      </c>
      <c r="O246" s="11">
        <f t="shared" si="35"/>
        <v>12</v>
      </c>
      <c r="P246" s="12">
        <v>4401210</v>
      </c>
      <c r="Q246" t="str">
        <f t="shared" si="36"/>
        <v>High</v>
      </c>
    </row>
    <row r="247" spans="1:17" ht="12.5" x14ac:dyDescent="0.25">
      <c r="A247" s="9" t="s">
        <v>264</v>
      </c>
      <c r="B247" s="9" t="s">
        <v>49</v>
      </c>
      <c r="C247" s="9" t="s">
        <v>50</v>
      </c>
      <c r="D247" s="10">
        <v>39759</v>
      </c>
      <c r="E247" s="10" t="str">
        <f t="shared" si="29"/>
        <v>2008</v>
      </c>
      <c r="F247" s="10" t="str">
        <f t="shared" si="30"/>
        <v>Nov</v>
      </c>
      <c r="G247" s="10" t="str">
        <f t="shared" si="31"/>
        <v>Q4</v>
      </c>
      <c r="H247" s="11">
        <f t="shared" ca="1" si="28"/>
        <v>17</v>
      </c>
      <c r="I247" t="str">
        <f t="shared" ca="1" si="32"/>
        <v>Senior</v>
      </c>
      <c r="J247">
        <v>5</v>
      </c>
      <c r="K247" s="11">
        <v>3</v>
      </c>
      <c r="L247" s="11" t="str">
        <f t="shared" si="33"/>
        <v>Average Performer</v>
      </c>
      <c r="M247" s="11">
        <v>43</v>
      </c>
      <c r="N247" s="11" t="str">
        <f t="shared" si="34"/>
        <v>Established Professional</v>
      </c>
      <c r="O247" s="11">
        <f t="shared" si="35"/>
        <v>17</v>
      </c>
      <c r="P247" s="12">
        <v>2481196</v>
      </c>
      <c r="Q247" t="str">
        <f t="shared" si="36"/>
        <v>Low</v>
      </c>
    </row>
    <row r="248" spans="1:17" ht="12.5" x14ac:dyDescent="0.25">
      <c r="A248" s="9" t="s">
        <v>265</v>
      </c>
      <c r="B248" s="9" t="s">
        <v>7</v>
      </c>
      <c r="C248" s="9" t="s">
        <v>8</v>
      </c>
      <c r="D248" s="10">
        <v>41969</v>
      </c>
      <c r="E248" s="10" t="str">
        <f t="shared" si="29"/>
        <v>2014</v>
      </c>
      <c r="F248" s="10" t="str">
        <f t="shared" si="30"/>
        <v>Nov</v>
      </c>
      <c r="G248" s="10" t="str">
        <f t="shared" si="31"/>
        <v>Q4</v>
      </c>
      <c r="H248" s="11">
        <f t="shared" ca="1" si="28"/>
        <v>11</v>
      </c>
      <c r="I248" t="str">
        <f t="shared" ca="1" si="32"/>
        <v>Senior</v>
      </c>
      <c r="J248">
        <v>7</v>
      </c>
      <c r="K248" s="11">
        <v>1</v>
      </c>
      <c r="L248" s="11" t="str">
        <f t="shared" si="33"/>
        <v>Poor Performer</v>
      </c>
      <c r="M248" s="11">
        <v>32</v>
      </c>
      <c r="N248" s="11" t="str">
        <f t="shared" si="34"/>
        <v>Emerging Professional</v>
      </c>
      <c r="O248" s="11">
        <f t="shared" si="35"/>
        <v>28</v>
      </c>
      <c r="P248" s="12">
        <v>3769276</v>
      </c>
      <c r="Q248" t="str">
        <f t="shared" si="36"/>
        <v>High</v>
      </c>
    </row>
    <row r="249" spans="1:17" ht="12.5" x14ac:dyDescent="0.25">
      <c r="A249" s="9" t="s">
        <v>266</v>
      </c>
      <c r="B249" s="9" t="s">
        <v>20</v>
      </c>
      <c r="C249" s="9" t="s">
        <v>21</v>
      </c>
      <c r="D249" s="10">
        <v>44731</v>
      </c>
      <c r="E249" s="10" t="str">
        <f t="shared" si="29"/>
        <v>2022</v>
      </c>
      <c r="F249" s="10" t="str">
        <f t="shared" si="30"/>
        <v>Jun</v>
      </c>
      <c r="G249" s="10" t="str">
        <f t="shared" si="31"/>
        <v>Q2</v>
      </c>
      <c r="H249" s="11">
        <f t="shared" ca="1" si="28"/>
        <v>3</v>
      </c>
      <c r="I249" t="str">
        <f t="shared" ca="1" si="32"/>
        <v>Junior</v>
      </c>
      <c r="J249">
        <v>4</v>
      </c>
      <c r="K249" s="11">
        <v>4</v>
      </c>
      <c r="L249" s="11" t="str">
        <f t="shared" si="33"/>
        <v>Good Performer</v>
      </c>
      <c r="M249" s="11">
        <v>47</v>
      </c>
      <c r="N249" s="11" t="str">
        <f t="shared" si="34"/>
        <v>Senior Professional</v>
      </c>
      <c r="O249" s="11">
        <f t="shared" si="35"/>
        <v>13</v>
      </c>
      <c r="P249" s="12">
        <v>5465246</v>
      </c>
      <c r="Q249" t="str">
        <f t="shared" si="36"/>
        <v>Very High</v>
      </c>
    </row>
    <row r="250" spans="1:17" ht="12.5" x14ac:dyDescent="0.25">
      <c r="A250" s="9" t="s">
        <v>267</v>
      </c>
      <c r="B250" s="9" t="s">
        <v>16</v>
      </c>
      <c r="C250" s="9" t="s">
        <v>17</v>
      </c>
      <c r="D250" s="10">
        <v>44843</v>
      </c>
      <c r="E250" s="10" t="str">
        <f t="shared" si="29"/>
        <v>2022</v>
      </c>
      <c r="F250" s="10" t="str">
        <f t="shared" si="30"/>
        <v>Oct</v>
      </c>
      <c r="G250" s="10" t="str">
        <f t="shared" si="31"/>
        <v>Q4</v>
      </c>
      <c r="H250" s="11">
        <f t="shared" ca="1" si="28"/>
        <v>3</v>
      </c>
      <c r="I250" t="str">
        <f t="shared" ca="1" si="32"/>
        <v>Junior</v>
      </c>
      <c r="J250">
        <v>4</v>
      </c>
      <c r="K250" s="11">
        <v>5</v>
      </c>
      <c r="L250" s="11" t="str">
        <f t="shared" si="33"/>
        <v>Excellent Performer</v>
      </c>
      <c r="M250" s="11">
        <v>54</v>
      </c>
      <c r="N250" s="11" t="str">
        <f t="shared" si="34"/>
        <v>Senior Professional</v>
      </c>
      <c r="O250" s="11">
        <f t="shared" si="35"/>
        <v>6</v>
      </c>
      <c r="P250" s="12">
        <v>4140345</v>
      </c>
      <c r="Q250" t="str">
        <f t="shared" si="36"/>
        <v>High</v>
      </c>
    </row>
    <row r="251" spans="1:17" ht="12.5" x14ac:dyDescent="0.25">
      <c r="A251" s="9" t="s">
        <v>268</v>
      </c>
      <c r="B251" s="9" t="s">
        <v>20</v>
      </c>
      <c r="C251" s="9" t="s">
        <v>21</v>
      </c>
      <c r="D251" s="10">
        <v>42071</v>
      </c>
      <c r="E251" s="10" t="str">
        <f t="shared" si="29"/>
        <v>2015</v>
      </c>
      <c r="F251" s="10" t="str">
        <f t="shared" si="30"/>
        <v>Mar</v>
      </c>
      <c r="G251" s="10" t="str">
        <f t="shared" si="31"/>
        <v>Q1</v>
      </c>
      <c r="H251" s="11">
        <f t="shared" ca="1" si="28"/>
        <v>10</v>
      </c>
      <c r="I251" t="str">
        <f t="shared" ca="1" si="32"/>
        <v>Senior</v>
      </c>
      <c r="J251">
        <v>6</v>
      </c>
      <c r="K251" s="11">
        <v>4</v>
      </c>
      <c r="L251" s="11" t="str">
        <f t="shared" si="33"/>
        <v>Good Performer</v>
      </c>
      <c r="M251" s="11">
        <v>54</v>
      </c>
      <c r="N251" s="11" t="str">
        <f t="shared" si="34"/>
        <v>Senior Professional</v>
      </c>
      <c r="O251" s="11">
        <f t="shared" si="35"/>
        <v>6</v>
      </c>
      <c r="P251" s="12">
        <v>4775847</v>
      </c>
      <c r="Q251" t="str">
        <f t="shared" si="36"/>
        <v>Very High</v>
      </c>
    </row>
    <row r="252" spans="1:17" ht="12.5" x14ac:dyDescent="0.25">
      <c r="A252" s="9" t="s">
        <v>269</v>
      </c>
      <c r="B252" s="9" t="s">
        <v>20</v>
      </c>
      <c r="C252" s="9" t="s">
        <v>21</v>
      </c>
      <c r="D252" s="10">
        <v>40033</v>
      </c>
      <c r="E252" s="10" t="str">
        <f t="shared" si="29"/>
        <v>2009</v>
      </c>
      <c r="F252" s="10" t="str">
        <f t="shared" si="30"/>
        <v>Aug</v>
      </c>
      <c r="G252" s="10" t="str">
        <f t="shared" si="31"/>
        <v>Q3</v>
      </c>
      <c r="H252" s="11">
        <f t="shared" ca="1" si="28"/>
        <v>16</v>
      </c>
      <c r="I252" t="str">
        <f t="shared" ca="1" si="32"/>
        <v>Senior</v>
      </c>
      <c r="J252">
        <v>1</v>
      </c>
      <c r="K252" s="11">
        <v>5</v>
      </c>
      <c r="L252" s="11" t="str">
        <f t="shared" si="33"/>
        <v>Excellent Performer</v>
      </c>
      <c r="M252" s="11">
        <v>46</v>
      </c>
      <c r="N252" s="11" t="str">
        <f t="shared" si="34"/>
        <v>Senior Professional</v>
      </c>
      <c r="O252" s="11">
        <f t="shared" si="35"/>
        <v>14</v>
      </c>
      <c r="P252" s="12">
        <v>5596934</v>
      </c>
      <c r="Q252" t="str">
        <f t="shared" si="36"/>
        <v>Very High</v>
      </c>
    </row>
    <row r="253" spans="1:17" ht="12.5" x14ac:dyDescent="0.25">
      <c r="A253" s="9" t="s">
        <v>270</v>
      </c>
      <c r="B253" s="9" t="s">
        <v>20</v>
      </c>
      <c r="C253" s="9" t="s">
        <v>21</v>
      </c>
      <c r="D253" s="10">
        <v>39698</v>
      </c>
      <c r="E253" s="10" t="str">
        <f t="shared" si="29"/>
        <v>2008</v>
      </c>
      <c r="F253" s="10" t="str">
        <f t="shared" si="30"/>
        <v>Sep</v>
      </c>
      <c r="G253" s="10" t="str">
        <f t="shared" si="31"/>
        <v>Q3</v>
      </c>
      <c r="H253" s="11">
        <f t="shared" ca="1" si="28"/>
        <v>17</v>
      </c>
      <c r="I253" t="str">
        <f t="shared" ca="1" si="32"/>
        <v>Senior</v>
      </c>
      <c r="J253">
        <v>7</v>
      </c>
      <c r="K253" s="11">
        <v>2</v>
      </c>
      <c r="L253" s="11" t="str">
        <f t="shared" si="33"/>
        <v>Fair Performer</v>
      </c>
      <c r="M253" s="11">
        <v>55</v>
      </c>
      <c r="N253" s="11" t="str">
        <f t="shared" si="34"/>
        <v>Senior Professional</v>
      </c>
      <c r="O253" s="11">
        <f t="shared" si="35"/>
        <v>5</v>
      </c>
      <c r="P253" s="12">
        <v>2893232</v>
      </c>
      <c r="Q253" t="str">
        <f t="shared" si="36"/>
        <v>Medium</v>
      </c>
    </row>
    <row r="254" spans="1:17" ht="12.5" x14ac:dyDescent="0.25">
      <c r="A254" s="9" t="s">
        <v>271</v>
      </c>
      <c r="B254" s="9" t="s">
        <v>7</v>
      </c>
      <c r="C254" s="9" t="s">
        <v>8</v>
      </c>
      <c r="D254" s="10">
        <v>38177</v>
      </c>
      <c r="E254" s="10" t="str">
        <f t="shared" si="29"/>
        <v>2004</v>
      </c>
      <c r="F254" s="10" t="str">
        <f t="shared" si="30"/>
        <v>Jul</v>
      </c>
      <c r="G254" s="10" t="str">
        <f t="shared" si="31"/>
        <v>Q3</v>
      </c>
      <c r="H254" s="11">
        <f t="shared" ca="1" si="28"/>
        <v>21</v>
      </c>
      <c r="I254" t="str">
        <f t="shared" ca="1" si="32"/>
        <v>Senior</v>
      </c>
      <c r="J254">
        <v>3</v>
      </c>
      <c r="K254" s="11">
        <v>2</v>
      </c>
      <c r="L254" s="11" t="str">
        <f t="shared" si="33"/>
        <v>Fair Performer</v>
      </c>
      <c r="M254" s="11">
        <v>48</v>
      </c>
      <c r="N254" s="11" t="str">
        <f t="shared" si="34"/>
        <v>Senior Professional</v>
      </c>
      <c r="O254" s="11">
        <f t="shared" si="35"/>
        <v>12</v>
      </c>
      <c r="P254" s="12">
        <v>4610485</v>
      </c>
      <c r="Q254" t="str">
        <f t="shared" si="36"/>
        <v>Very High</v>
      </c>
    </row>
    <row r="255" spans="1:17" ht="12.5" x14ac:dyDescent="0.25">
      <c r="A255" s="9" t="s">
        <v>272</v>
      </c>
      <c r="B255" s="9" t="s">
        <v>16</v>
      </c>
      <c r="C255" s="9" t="s">
        <v>17</v>
      </c>
      <c r="D255" s="10">
        <v>39943</v>
      </c>
      <c r="E255" s="10" t="str">
        <f t="shared" si="29"/>
        <v>2009</v>
      </c>
      <c r="F255" s="10" t="str">
        <f t="shared" si="30"/>
        <v>May</v>
      </c>
      <c r="G255" s="10" t="str">
        <f t="shared" si="31"/>
        <v>Q2</v>
      </c>
      <c r="H255" s="11">
        <f t="shared" ca="1" si="28"/>
        <v>16</v>
      </c>
      <c r="I255" t="str">
        <f t="shared" ca="1" si="32"/>
        <v>Senior</v>
      </c>
      <c r="J255">
        <v>2</v>
      </c>
      <c r="K255" s="11">
        <v>5</v>
      </c>
      <c r="L255" s="11" t="str">
        <f t="shared" si="33"/>
        <v>Excellent Performer</v>
      </c>
      <c r="M255" s="11">
        <v>53</v>
      </c>
      <c r="N255" s="11" t="str">
        <f t="shared" si="34"/>
        <v>Senior Professional</v>
      </c>
      <c r="O255" s="11">
        <f t="shared" si="35"/>
        <v>7</v>
      </c>
      <c r="P255" s="12">
        <v>3738933</v>
      </c>
      <c r="Q255" t="str">
        <f t="shared" si="36"/>
        <v>High</v>
      </c>
    </row>
    <row r="256" spans="1:17" ht="12.5" x14ac:dyDescent="0.25">
      <c r="A256" s="9" t="s">
        <v>273</v>
      </c>
      <c r="B256" s="9" t="s">
        <v>16</v>
      </c>
      <c r="C256" s="9" t="s">
        <v>17</v>
      </c>
      <c r="D256" s="10">
        <v>42775</v>
      </c>
      <c r="E256" s="10" t="str">
        <f t="shared" si="29"/>
        <v>2017</v>
      </c>
      <c r="F256" s="10" t="str">
        <f t="shared" si="30"/>
        <v>Feb</v>
      </c>
      <c r="G256" s="10" t="str">
        <f t="shared" si="31"/>
        <v>Q1</v>
      </c>
      <c r="H256" s="11">
        <f t="shared" ca="1" si="28"/>
        <v>8</v>
      </c>
      <c r="I256" t="str">
        <f t="shared" ca="1" si="32"/>
        <v>Established</v>
      </c>
      <c r="J256">
        <v>2</v>
      </c>
      <c r="K256" s="11">
        <v>5</v>
      </c>
      <c r="L256" s="11" t="str">
        <f t="shared" si="33"/>
        <v>Excellent Performer</v>
      </c>
      <c r="M256" s="11">
        <v>46</v>
      </c>
      <c r="N256" s="11" t="str">
        <f t="shared" si="34"/>
        <v>Senior Professional</v>
      </c>
      <c r="O256" s="11">
        <f t="shared" si="35"/>
        <v>14</v>
      </c>
      <c r="P256" s="12">
        <v>3552410</v>
      </c>
      <c r="Q256" t="str">
        <f t="shared" si="36"/>
        <v>High</v>
      </c>
    </row>
    <row r="257" spans="1:17" ht="12.5" x14ac:dyDescent="0.25">
      <c r="A257" s="9" t="s">
        <v>274</v>
      </c>
      <c r="B257" s="9" t="s">
        <v>20</v>
      </c>
      <c r="C257" s="9" t="s">
        <v>21</v>
      </c>
      <c r="D257" s="10">
        <v>43665</v>
      </c>
      <c r="E257" s="10" t="str">
        <f t="shared" si="29"/>
        <v>2019</v>
      </c>
      <c r="F257" s="10" t="str">
        <f t="shared" si="30"/>
        <v>Jul</v>
      </c>
      <c r="G257" s="10" t="str">
        <f t="shared" si="31"/>
        <v>Q3</v>
      </c>
      <c r="H257" s="11">
        <f t="shared" ca="1" si="28"/>
        <v>6</v>
      </c>
      <c r="I257" t="str">
        <f t="shared" ca="1" si="32"/>
        <v>Established</v>
      </c>
      <c r="J257">
        <v>7</v>
      </c>
      <c r="K257" s="11">
        <v>3</v>
      </c>
      <c r="L257" s="11" t="str">
        <f t="shared" si="33"/>
        <v>Average Performer</v>
      </c>
      <c r="M257" s="11">
        <v>52</v>
      </c>
      <c r="N257" s="11" t="str">
        <f t="shared" si="34"/>
        <v>Senior Professional</v>
      </c>
      <c r="O257" s="11">
        <f t="shared" si="35"/>
        <v>8</v>
      </c>
      <c r="P257" s="12">
        <v>4555610</v>
      </c>
      <c r="Q257" t="str">
        <f t="shared" si="36"/>
        <v>High</v>
      </c>
    </row>
    <row r="258" spans="1:17" ht="12.5" x14ac:dyDescent="0.25">
      <c r="A258" s="9" t="s">
        <v>275</v>
      </c>
      <c r="B258" s="9" t="s">
        <v>36</v>
      </c>
      <c r="C258" s="9" t="s">
        <v>37</v>
      </c>
      <c r="D258" s="10">
        <v>43354</v>
      </c>
      <c r="E258" s="10" t="str">
        <f t="shared" si="29"/>
        <v>2018</v>
      </c>
      <c r="F258" s="10" t="str">
        <f t="shared" si="30"/>
        <v>Sep</v>
      </c>
      <c r="G258" s="10" t="str">
        <f t="shared" si="31"/>
        <v>Q3</v>
      </c>
      <c r="H258" s="11">
        <f t="shared" ref="H258:H321" ca="1" si="37">TEXT(TODAY(), "YYYY")-TEXT(D258, "YYYY")</f>
        <v>7</v>
      </c>
      <c r="I258" t="str">
        <f t="shared" ca="1" si="32"/>
        <v>Established</v>
      </c>
      <c r="J258">
        <v>5</v>
      </c>
      <c r="K258" s="11">
        <v>3</v>
      </c>
      <c r="L258" s="11" t="str">
        <f t="shared" si="33"/>
        <v>Average Performer</v>
      </c>
      <c r="M258" s="11">
        <v>55</v>
      </c>
      <c r="N258" s="11" t="str">
        <f t="shared" si="34"/>
        <v>Senior Professional</v>
      </c>
      <c r="O258" s="11">
        <f t="shared" si="35"/>
        <v>5</v>
      </c>
      <c r="P258" s="12">
        <v>3730092</v>
      </c>
      <c r="Q258" t="str">
        <f t="shared" si="36"/>
        <v>High</v>
      </c>
    </row>
    <row r="259" spans="1:17" ht="12.5" x14ac:dyDescent="0.25">
      <c r="A259" s="9" t="s">
        <v>276</v>
      </c>
      <c r="B259" s="9" t="s">
        <v>10</v>
      </c>
      <c r="C259" s="9" t="s">
        <v>11</v>
      </c>
      <c r="D259" s="10">
        <v>41100</v>
      </c>
      <c r="E259" s="10" t="str">
        <f t="shared" ref="E259:E322" si="38">TEXT(D259, "YYYY")</f>
        <v>2012</v>
      </c>
      <c r="F259" s="10" t="str">
        <f t="shared" ref="F259:F322" si="39">TEXT(D259, "MMM")</f>
        <v>Jul</v>
      </c>
      <c r="G259" s="10" t="str">
        <f t="shared" ref="G259:G322" si="40">"Q" &amp; ROUNDUP(MONTH(D259)/3,0)</f>
        <v>Q3</v>
      </c>
      <c r="H259" s="11">
        <f t="shared" ca="1" si="37"/>
        <v>13</v>
      </c>
      <c r="I259" t="str">
        <f t="shared" ref="I259:I322" ca="1" si="41">IF(AND(H259&gt;=0, H259&lt;2), "Fresher", IF(AND(H259&gt;=2, H259&lt;5), "Junior", IF(AND(H259&gt;=5, H259&lt;10), "Established", "Senior")))</f>
        <v>Senior</v>
      </c>
      <c r="J259">
        <v>6</v>
      </c>
      <c r="K259" s="11">
        <v>3</v>
      </c>
      <c r="L259" s="11" t="str">
        <f t="shared" ref="L259:L322" si="42">IF(K259=1, "Poor Performer", IF(K259=2, "Fair Performer", IF(K259=3, "Average Performer", IF(K259=4, "Good Performer", "Excellent Performer"))))</f>
        <v>Average Performer</v>
      </c>
      <c r="M259" s="11">
        <v>20</v>
      </c>
      <c r="N259" s="11" t="str">
        <f t="shared" ref="N259:N322" si="43">IF(AND(M259&lt;25), "Young Talent", IF(AND(M259&gt;=25, M259&lt;35), "Emerging Professional", IF(AND(M259&gt;=35, M259&lt;45), "Established Professional", "Senior Professional")))</f>
        <v>Young Talent</v>
      </c>
      <c r="O259" s="11">
        <f t="shared" ref="O259:O322" si="44">60-M259</f>
        <v>40</v>
      </c>
      <c r="P259" s="12">
        <v>3420838</v>
      </c>
      <c r="Q259" t="str">
        <f t="shared" si="36"/>
        <v>High</v>
      </c>
    </row>
    <row r="260" spans="1:17" ht="12.5" x14ac:dyDescent="0.25">
      <c r="A260" s="9" t="s">
        <v>277</v>
      </c>
      <c r="B260" s="9" t="s">
        <v>36</v>
      </c>
      <c r="C260" s="9" t="s">
        <v>37</v>
      </c>
      <c r="D260" s="10">
        <v>43243</v>
      </c>
      <c r="E260" s="10" t="str">
        <f t="shared" si="38"/>
        <v>2018</v>
      </c>
      <c r="F260" s="10" t="str">
        <f t="shared" si="39"/>
        <v>May</v>
      </c>
      <c r="G260" s="10" t="str">
        <f t="shared" si="40"/>
        <v>Q2</v>
      </c>
      <c r="H260" s="11">
        <f t="shared" ca="1" si="37"/>
        <v>7</v>
      </c>
      <c r="I260" t="str">
        <f t="shared" ca="1" si="41"/>
        <v>Established</v>
      </c>
      <c r="J260">
        <v>1</v>
      </c>
      <c r="K260" s="11">
        <v>4</v>
      </c>
      <c r="L260" s="11" t="str">
        <f t="shared" si="42"/>
        <v>Good Performer</v>
      </c>
      <c r="M260" s="11">
        <v>29</v>
      </c>
      <c r="N260" s="11" t="str">
        <f t="shared" si="43"/>
        <v>Emerging Professional</v>
      </c>
      <c r="O260" s="11">
        <f t="shared" si="44"/>
        <v>31</v>
      </c>
      <c r="P260" s="12">
        <v>1225076</v>
      </c>
      <c r="Q260" t="str">
        <f t="shared" si="36"/>
        <v>Low</v>
      </c>
    </row>
    <row r="261" spans="1:17" ht="12.5" x14ac:dyDescent="0.25">
      <c r="A261" s="9" t="s">
        <v>278</v>
      </c>
      <c r="B261" s="9" t="s">
        <v>49</v>
      </c>
      <c r="C261" s="9" t="s">
        <v>50</v>
      </c>
      <c r="D261" s="10">
        <v>39415</v>
      </c>
      <c r="E261" s="10" t="str">
        <f t="shared" si="38"/>
        <v>2007</v>
      </c>
      <c r="F261" s="10" t="str">
        <f t="shared" si="39"/>
        <v>Nov</v>
      </c>
      <c r="G261" s="10" t="str">
        <f t="shared" si="40"/>
        <v>Q4</v>
      </c>
      <c r="H261" s="11">
        <f t="shared" ca="1" si="37"/>
        <v>18</v>
      </c>
      <c r="I261" t="str">
        <f t="shared" ca="1" si="41"/>
        <v>Senior</v>
      </c>
      <c r="J261">
        <v>5</v>
      </c>
      <c r="K261" s="11">
        <v>5</v>
      </c>
      <c r="L261" s="11" t="str">
        <f t="shared" si="42"/>
        <v>Excellent Performer</v>
      </c>
      <c r="M261" s="11">
        <v>41</v>
      </c>
      <c r="N261" s="11" t="str">
        <f t="shared" si="43"/>
        <v>Established Professional</v>
      </c>
      <c r="O261" s="11">
        <f t="shared" si="44"/>
        <v>19</v>
      </c>
      <c r="P261" s="12">
        <v>5266624</v>
      </c>
      <c r="Q261" t="str">
        <f t="shared" si="36"/>
        <v>Very High</v>
      </c>
    </row>
    <row r="262" spans="1:17" ht="12.5" x14ac:dyDescent="0.25">
      <c r="A262" s="9" t="s">
        <v>279</v>
      </c>
      <c r="B262" s="9" t="s">
        <v>16</v>
      </c>
      <c r="C262" s="9" t="s">
        <v>17</v>
      </c>
      <c r="D262" s="10">
        <v>44201</v>
      </c>
      <c r="E262" s="10" t="str">
        <f t="shared" si="38"/>
        <v>2021</v>
      </c>
      <c r="F262" s="10" t="str">
        <f t="shared" si="39"/>
        <v>Jan</v>
      </c>
      <c r="G262" s="10" t="str">
        <f t="shared" si="40"/>
        <v>Q1</v>
      </c>
      <c r="H262" s="11">
        <f t="shared" ca="1" si="37"/>
        <v>4</v>
      </c>
      <c r="I262" t="str">
        <f t="shared" ca="1" si="41"/>
        <v>Junior</v>
      </c>
      <c r="J262">
        <v>3</v>
      </c>
      <c r="K262" s="11">
        <v>1</v>
      </c>
      <c r="L262" s="11" t="str">
        <f t="shared" si="42"/>
        <v>Poor Performer</v>
      </c>
      <c r="M262" s="11">
        <v>47</v>
      </c>
      <c r="N262" s="11" t="str">
        <f t="shared" si="43"/>
        <v>Senior Professional</v>
      </c>
      <c r="O262" s="11">
        <f t="shared" si="44"/>
        <v>13</v>
      </c>
      <c r="P262" s="12">
        <v>4900669</v>
      </c>
      <c r="Q262" t="str">
        <f t="shared" si="36"/>
        <v>Very High</v>
      </c>
    </row>
    <row r="263" spans="1:17" ht="12.5" x14ac:dyDescent="0.25">
      <c r="A263" s="9" t="s">
        <v>280</v>
      </c>
      <c r="B263" s="9" t="s">
        <v>49</v>
      </c>
      <c r="C263" s="9" t="s">
        <v>50</v>
      </c>
      <c r="D263" s="10">
        <v>42646</v>
      </c>
      <c r="E263" s="10" t="str">
        <f t="shared" si="38"/>
        <v>2016</v>
      </c>
      <c r="F263" s="10" t="str">
        <f t="shared" si="39"/>
        <v>Oct</v>
      </c>
      <c r="G263" s="10" t="str">
        <f t="shared" si="40"/>
        <v>Q4</v>
      </c>
      <c r="H263" s="11">
        <f t="shared" ca="1" si="37"/>
        <v>9</v>
      </c>
      <c r="I263" t="str">
        <f t="shared" ca="1" si="41"/>
        <v>Established</v>
      </c>
      <c r="J263">
        <v>7</v>
      </c>
      <c r="K263" s="11">
        <v>4</v>
      </c>
      <c r="L263" s="11" t="str">
        <f t="shared" si="42"/>
        <v>Good Performer</v>
      </c>
      <c r="M263" s="11">
        <v>46</v>
      </c>
      <c r="N263" s="11" t="str">
        <f t="shared" si="43"/>
        <v>Senior Professional</v>
      </c>
      <c r="O263" s="11">
        <f t="shared" si="44"/>
        <v>14</v>
      </c>
      <c r="P263" s="12">
        <v>4253513</v>
      </c>
      <c r="Q263" t="str">
        <f t="shared" si="36"/>
        <v>High</v>
      </c>
    </row>
    <row r="264" spans="1:17" ht="12.5" x14ac:dyDescent="0.25">
      <c r="A264" s="9" t="s">
        <v>281</v>
      </c>
      <c r="B264" s="9" t="s">
        <v>10</v>
      </c>
      <c r="C264" s="9" t="s">
        <v>11</v>
      </c>
      <c r="D264" s="10">
        <v>42581</v>
      </c>
      <c r="E264" s="10" t="str">
        <f t="shared" si="38"/>
        <v>2016</v>
      </c>
      <c r="F264" s="10" t="str">
        <f t="shared" si="39"/>
        <v>Jul</v>
      </c>
      <c r="G264" s="10" t="str">
        <f t="shared" si="40"/>
        <v>Q3</v>
      </c>
      <c r="H264" s="11">
        <f t="shared" ca="1" si="37"/>
        <v>9</v>
      </c>
      <c r="I264" t="str">
        <f t="shared" ca="1" si="41"/>
        <v>Established</v>
      </c>
      <c r="J264">
        <v>5</v>
      </c>
      <c r="K264" s="11">
        <v>4</v>
      </c>
      <c r="L264" s="11" t="str">
        <f t="shared" si="42"/>
        <v>Good Performer</v>
      </c>
      <c r="M264" s="11">
        <v>45</v>
      </c>
      <c r="N264" s="11" t="str">
        <f t="shared" si="43"/>
        <v>Senior Professional</v>
      </c>
      <c r="O264" s="11">
        <f t="shared" si="44"/>
        <v>15</v>
      </c>
      <c r="P264" s="12">
        <v>3755647</v>
      </c>
      <c r="Q264" t="str">
        <f t="shared" si="36"/>
        <v>High</v>
      </c>
    </row>
    <row r="265" spans="1:17" ht="12.5" x14ac:dyDescent="0.25">
      <c r="A265" s="9" t="s">
        <v>282</v>
      </c>
      <c r="B265" s="9" t="s">
        <v>7</v>
      </c>
      <c r="C265" s="9" t="s">
        <v>8</v>
      </c>
      <c r="D265" s="10">
        <v>40078</v>
      </c>
      <c r="E265" s="10" t="str">
        <f t="shared" si="38"/>
        <v>2009</v>
      </c>
      <c r="F265" s="10" t="str">
        <f t="shared" si="39"/>
        <v>Sep</v>
      </c>
      <c r="G265" s="10" t="str">
        <f t="shared" si="40"/>
        <v>Q3</v>
      </c>
      <c r="H265" s="11">
        <f t="shared" ca="1" si="37"/>
        <v>16</v>
      </c>
      <c r="I265" t="str">
        <f t="shared" ca="1" si="41"/>
        <v>Senior</v>
      </c>
      <c r="J265">
        <v>4</v>
      </c>
      <c r="K265" s="11">
        <v>4</v>
      </c>
      <c r="L265" s="11" t="str">
        <f t="shared" si="42"/>
        <v>Good Performer</v>
      </c>
      <c r="M265" s="11">
        <v>22</v>
      </c>
      <c r="N265" s="11" t="str">
        <f t="shared" si="43"/>
        <v>Young Talent</v>
      </c>
      <c r="O265" s="11">
        <f t="shared" si="44"/>
        <v>38</v>
      </c>
      <c r="P265" s="12">
        <v>2982235</v>
      </c>
      <c r="Q265" t="str">
        <f t="shared" si="36"/>
        <v>Medium</v>
      </c>
    </row>
    <row r="266" spans="1:17" ht="12.5" x14ac:dyDescent="0.25">
      <c r="A266" s="9" t="s">
        <v>283</v>
      </c>
      <c r="B266" s="9" t="s">
        <v>20</v>
      </c>
      <c r="C266" s="9" t="s">
        <v>21</v>
      </c>
      <c r="D266" s="10">
        <v>38148</v>
      </c>
      <c r="E266" s="10" t="str">
        <f t="shared" si="38"/>
        <v>2004</v>
      </c>
      <c r="F266" s="10" t="str">
        <f t="shared" si="39"/>
        <v>Jun</v>
      </c>
      <c r="G266" s="10" t="str">
        <f t="shared" si="40"/>
        <v>Q2</v>
      </c>
      <c r="H266" s="11">
        <f t="shared" ca="1" si="37"/>
        <v>21</v>
      </c>
      <c r="I266" t="str">
        <f t="shared" ca="1" si="41"/>
        <v>Senior</v>
      </c>
      <c r="J266">
        <v>4</v>
      </c>
      <c r="K266" s="11">
        <v>1</v>
      </c>
      <c r="L266" s="11" t="str">
        <f t="shared" si="42"/>
        <v>Poor Performer</v>
      </c>
      <c r="M266" s="11">
        <v>19</v>
      </c>
      <c r="N266" s="11" t="str">
        <f t="shared" si="43"/>
        <v>Young Talent</v>
      </c>
      <c r="O266" s="11">
        <f t="shared" si="44"/>
        <v>41</v>
      </c>
      <c r="P266" s="12">
        <v>5128869</v>
      </c>
      <c r="Q266" t="str">
        <f t="shared" si="36"/>
        <v>Very High</v>
      </c>
    </row>
    <row r="267" spans="1:17" ht="12.5" x14ac:dyDescent="0.25">
      <c r="A267" s="9" t="s">
        <v>284</v>
      </c>
      <c r="B267" s="9" t="s">
        <v>36</v>
      </c>
      <c r="C267" s="9" t="s">
        <v>37</v>
      </c>
      <c r="D267" s="10">
        <v>39474</v>
      </c>
      <c r="E267" s="10" t="str">
        <f t="shared" si="38"/>
        <v>2008</v>
      </c>
      <c r="F267" s="10" t="str">
        <f t="shared" si="39"/>
        <v>Jan</v>
      </c>
      <c r="G267" s="10" t="str">
        <f t="shared" si="40"/>
        <v>Q1</v>
      </c>
      <c r="H267" s="11">
        <f t="shared" ca="1" si="37"/>
        <v>17</v>
      </c>
      <c r="I267" t="str">
        <f t="shared" ca="1" si="41"/>
        <v>Senior</v>
      </c>
      <c r="J267">
        <v>1</v>
      </c>
      <c r="K267" s="11">
        <v>5</v>
      </c>
      <c r="L267" s="11" t="str">
        <f t="shared" si="42"/>
        <v>Excellent Performer</v>
      </c>
      <c r="M267" s="11">
        <v>53</v>
      </c>
      <c r="N267" s="11" t="str">
        <f t="shared" si="43"/>
        <v>Senior Professional</v>
      </c>
      <c r="O267" s="11">
        <f t="shared" si="44"/>
        <v>7</v>
      </c>
      <c r="P267" s="12">
        <v>1710427</v>
      </c>
      <c r="Q267" t="str">
        <f t="shared" ref="Q267:Q330" si="45">IF(P267&lt;= _xlfn.PERCENTILE.INC(P267:P638, 0.25), "Low", IF(P267&lt;= _xlfn.PERCENTILE.INC(P267:P638, 0.5),"Medium",IF(P267&lt;= _xlfn.PERCENTILE.INC(P267:P638, 0.75),"High","Very High")))</f>
        <v>Low</v>
      </c>
    </row>
    <row r="268" spans="1:17" ht="12.5" x14ac:dyDescent="0.25">
      <c r="A268" s="9" t="s">
        <v>285</v>
      </c>
      <c r="B268" s="9" t="s">
        <v>10</v>
      </c>
      <c r="C268" s="9" t="s">
        <v>11</v>
      </c>
      <c r="D268" s="10">
        <v>41351</v>
      </c>
      <c r="E268" s="10" t="str">
        <f t="shared" si="38"/>
        <v>2013</v>
      </c>
      <c r="F268" s="10" t="str">
        <f t="shared" si="39"/>
        <v>Mar</v>
      </c>
      <c r="G268" s="10" t="str">
        <f t="shared" si="40"/>
        <v>Q1</v>
      </c>
      <c r="H268" s="11">
        <f t="shared" ca="1" si="37"/>
        <v>12</v>
      </c>
      <c r="I268" t="str">
        <f t="shared" ca="1" si="41"/>
        <v>Senior</v>
      </c>
      <c r="J268">
        <v>6</v>
      </c>
      <c r="K268" s="11">
        <v>3</v>
      </c>
      <c r="L268" s="11" t="str">
        <f t="shared" si="42"/>
        <v>Average Performer</v>
      </c>
      <c r="M268" s="11">
        <v>28</v>
      </c>
      <c r="N268" s="11" t="str">
        <f t="shared" si="43"/>
        <v>Emerging Professional</v>
      </c>
      <c r="O268" s="11">
        <f t="shared" si="44"/>
        <v>32</v>
      </c>
      <c r="P268" s="12">
        <v>1360714</v>
      </c>
      <c r="Q268" t="str">
        <f t="shared" si="45"/>
        <v>Low</v>
      </c>
    </row>
    <row r="269" spans="1:17" ht="12.5" x14ac:dyDescent="0.25">
      <c r="A269" s="9" t="s">
        <v>286</v>
      </c>
      <c r="B269" s="9" t="s">
        <v>36</v>
      </c>
      <c r="C269" s="9" t="s">
        <v>37</v>
      </c>
      <c r="D269" s="10">
        <v>40006</v>
      </c>
      <c r="E269" s="10" t="str">
        <f t="shared" si="38"/>
        <v>2009</v>
      </c>
      <c r="F269" s="10" t="str">
        <f t="shared" si="39"/>
        <v>Jul</v>
      </c>
      <c r="G269" s="10" t="str">
        <f t="shared" si="40"/>
        <v>Q3</v>
      </c>
      <c r="H269" s="11">
        <f t="shared" ca="1" si="37"/>
        <v>16</v>
      </c>
      <c r="I269" t="str">
        <f t="shared" ca="1" si="41"/>
        <v>Senior</v>
      </c>
      <c r="J269">
        <v>1</v>
      </c>
      <c r="K269" s="11">
        <v>5</v>
      </c>
      <c r="L269" s="11" t="str">
        <f t="shared" si="42"/>
        <v>Excellent Performer</v>
      </c>
      <c r="M269" s="11">
        <v>40</v>
      </c>
      <c r="N269" s="11" t="str">
        <f t="shared" si="43"/>
        <v>Established Professional</v>
      </c>
      <c r="O269" s="11">
        <f t="shared" si="44"/>
        <v>20</v>
      </c>
      <c r="P269" s="12">
        <v>2972842</v>
      </c>
      <c r="Q269" t="str">
        <f t="shared" si="45"/>
        <v>Medium</v>
      </c>
    </row>
    <row r="270" spans="1:17" ht="12.5" x14ac:dyDescent="0.25">
      <c r="A270" s="9" t="s">
        <v>287</v>
      </c>
      <c r="B270" s="9" t="s">
        <v>16</v>
      </c>
      <c r="C270" s="9" t="s">
        <v>17</v>
      </c>
      <c r="D270" s="10">
        <v>40304</v>
      </c>
      <c r="E270" s="10" t="str">
        <f t="shared" si="38"/>
        <v>2010</v>
      </c>
      <c r="F270" s="10" t="str">
        <f t="shared" si="39"/>
        <v>May</v>
      </c>
      <c r="G270" s="10" t="str">
        <f t="shared" si="40"/>
        <v>Q2</v>
      </c>
      <c r="H270" s="11">
        <f t="shared" ca="1" si="37"/>
        <v>15</v>
      </c>
      <c r="I270" t="str">
        <f t="shared" ca="1" si="41"/>
        <v>Senior</v>
      </c>
      <c r="J270">
        <v>5</v>
      </c>
      <c r="K270" s="11">
        <v>1</v>
      </c>
      <c r="L270" s="11" t="str">
        <f t="shared" si="42"/>
        <v>Poor Performer</v>
      </c>
      <c r="M270" s="11">
        <v>32</v>
      </c>
      <c r="N270" s="11" t="str">
        <f t="shared" si="43"/>
        <v>Emerging Professional</v>
      </c>
      <c r="O270" s="11">
        <f t="shared" si="44"/>
        <v>28</v>
      </c>
      <c r="P270" s="12">
        <v>5082971</v>
      </c>
      <c r="Q270" t="str">
        <f t="shared" si="45"/>
        <v>Very High</v>
      </c>
    </row>
    <row r="271" spans="1:17" ht="12.5" x14ac:dyDescent="0.25">
      <c r="A271" s="9" t="s">
        <v>288</v>
      </c>
      <c r="B271" s="9" t="s">
        <v>4</v>
      </c>
      <c r="C271" s="9" t="s">
        <v>5</v>
      </c>
      <c r="D271" s="10">
        <v>44127</v>
      </c>
      <c r="E271" s="10" t="str">
        <f t="shared" si="38"/>
        <v>2020</v>
      </c>
      <c r="F271" s="10" t="str">
        <f t="shared" si="39"/>
        <v>Oct</v>
      </c>
      <c r="G271" s="10" t="str">
        <f t="shared" si="40"/>
        <v>Q4</v>
      </c>
      <c r="H271" s="11">
        <f t="shared" ca="1" si="37"/>
        <v>5</v>
      </c>
      <c r="I271" t="str">
        <f t="shared" ca="1" si="41"/>
        <v>Established</v>
      </c>
      <c r="J271">
        <v>6</v>
      </c>
      <c r="K271" s="11">
        <v>5</v>
      </c>
      <c r="L271" s="11" t="str">
        <f t="shared" si="42"/>
        <v>Excellent Performer</v>
      </c>
      <c r="M271" s="11">
        <v>30</v>
      </c>
      <c r="N271" s="11" t="str">
        <f t="shared" si="43"/>
        <v>Emerging Professional</v>
      </c>
      <c r="O271" s="11">
        <f t="shared" si="44"/>
        <v>30</v>
      </c>
      <c r="P271" s="12">
        <v>1937967</v>
      </c>
      <c r="Q271" t="str">
        <f t="shared" si="45"/>
        <v>Low</v>
      </c>
    </row>
    <row r="272" spans="1:17" ht="12.5" x14ac:dyDescent="0.25">
      <c r="A272" s="9" t="s">
        <v>289</v>
      </c>
      <c r="B272" s="9" t="s">
        <v>7</v>
      </c>
      <c r="C272" s="9" t="s">
        <v>8</v>
      </c>
      <c r="D272" s="10">
        <v>42130</v>
      </c>
      <c r="E272" s="10" t="str">
        <f t="shared" si="38"/>
        <v>2015</v>
      </c>
      <c r="F272" s="10" t="str">
        <f t="shared" si="39"/>
        <v>May</v>
      </c>
      <c r="G272" s="10" t="str">
        <f t="shared" si="40"/>
        <v>Q2</v>
      </c>
      <c r="H272" s="11">
        <f t="shared" ca="1" si="37"/>
        <v>10</v>
      </c>
      <c r="I272" t="str">
        <f t="shared" ca="1" si="41"/>
        <v>Senior</v>
      </c>
      <c r="J272">
        <v>5</v>
      </c>
      <c r="K272" s="11">
        <v>1</v>
      </c>
      <c r="L272" s="11" t="str">
        <f t="shared" si="42"/>
        <v>Poor Performer</v>
      </c>
      <c r="M272" s="11">
        <v>45</v>
      </c>
      <c r="N272" s="11" t="str">
        <f t="shared" si="43"/>
        <v>Senior Professional</v>
      </c>
      <c r="O272" s="11">
        <f t="shared" si="44"/>
        <v>15</v>
      </c>
      <c r="P272" s="12">
        <v>3733875</v>
      </c>
      <c r="Q272" t="str">
        <f t="shared" si="45"/>
        <v>High</v>
      </c>
    </row>
    <row r="273" spans="1:17" ht="12.5" x14ac:dyDescent="0.25">
      <c r="A273" s="9" t="s">
        <v>290</v>
      </c>
      <c r="B273" s="9" t="s">
        <v>20</v>
      </c>
      <c r="C273" s="9" t="s">
        <v>21</v>
      </c>
      <c r="D273" s="10">
        <v>40189</v>
      </c>
      <c r="E273" s="10" t="str">
        <f t="shared" si="38"/>
        <v>2010</v>
      </c>
      <c r="F273" s="10" t="str">
        <f t="shared" si="39"/>
        <v>Jan</v>
      </c>
      <c r="G273" s="10" t="str">
        <f t="shared" si="40"/>
        <v>Q1</v>
      </c>
      <c r="H273" s="11">
        <f t="shared" ca="1" si="37"/>
        <v>15</v>
      </c>
      <c r="I273" t="str">
        <f t="shared" ca="1" si="41"/>
        <v>Senior</v>
      </c>
      <c r="J273">
        <v>7</v>
      </c>
      <c r="K273" s="11">
        <v>1</v>
      </c>
      <c r="L273" s="11" t="str">
        <f t="shared" si="42"/>
        <v>Poor Performer</v>
      </c>
      <c r="M273" s="11">
        <v>39</v>
      </c>
      <c r="N273" s="11" t="str">
        <f t="shared" si="43"/>
        <v>Established Professional</v>
      </c>
      <c r="O273" s="11">
        <f t="shared" si="44"/>
        <v>21</v>
      </c>
      <c r="P273" s="12">
        <v>789126</v>
      </c>
      <c r="Q273" t="str">
        <f t="shared" si="45"/>
        <v>Low</v>
      </c>
    </row>
    <row r="274" spans="1:17" ht="12.5" x14ac:dyDescent="0.25">
      <c r="A274" s="9" t="s">
        <v>291</v>
      </c>
      <c r="B274" s="9" t="s">
        <v>20</v>
      </c>
      <c r="C274" s="9" t="s">
        <v>21</v>
      </c>
      <c r="D274" s="10">
        <v>42528</v>
      </c>
      <c r="E274" s="10" t="str">
        <f t="shared" si="38"/>
        <v>2016</v>
      </c>
      <c r="F274" s="10" t="str">
        <f t="shared" si="39"/>
        <v>Jun</v>
      </c>
      <c r="G274" s="10" t="str">
        <f t="shared" si="40"/>
        <v>Q2</v>
      </c>
      <c r="H274" s="11">
        <f t="shared" ca="1" si="37"/>
        <v>9</v>
      </c>
      <c r="I274" t="str">
        <f t="shared" ca="1" si="41"/>
        <v>Established</v>
      </c>
      <c r="J274">
        <v>3</v>
      </c>
      <c r="K274" s="11">
        <v>5</v>
      </c>
      <c r="L274" s="11" t="str">
        <f t="shared" si="42"/>
        <v>Excellent Performer</v>
      </c>
      <c r="M274" s="11">
        <v>39</v>
      </c>
      <c r="N274" s="11" t="str">
        <f t="shared" si="43"/>
        <v>Established Professional</v>
      </c>
      <c r="O274" s="11">
        <f t="shared" si="44"/>
        <v>21</v>
      </c>
      <c r="P274" s="12">
        <v>4627229</v>
      </c>
      <c r="Q274" t="str">
        <f t="shared" si="45"/>
        <v>Very High</v>
      </c>
    </row>
    <row r="275" spans="1:17" ht="12.5" x14ac:dyDescent="0.25">
      <c r="A275" s="9" t="s">
        <v>292</v>
      </c>
      <c r="B275" s="9" t="s">
        <v>36</v>
      </c>
      <c r="C275" s="9" t="s">
        <v>37</v>
      </c>
      <c r="D275" s="10">
        <v>38948</v>
      </c>
      <c r="E275" s="10" t="str">
        <f t="shared" si="38"/>
        <v>2006</v>
      </c>
      <c r="F275" s="10" t="str">
        <f t="shared" si="39"/>
        <v>Aug</v>
      </c>
      <c r="G275" s="10" t="str">
        <f t="shared" si="40"/>
        <v>Q3</v>
      </c>
      <c r="H275" s="11">
        <f t="shared" ca="1" si="37"/>
        <v>19</v>
      </c>
      <c r="I275" t="str">
        <f t="shared" ca="1" si="41"/>
        <v>Senior</v>
      </c>
      <c r="J275">
        <v>1</v>
      </c>
      <c r="K275" s="11">
        <v>4</v>
      </c>
      <c r="L275" s="11" t="str">
        <f t="shared" si="42"/>
        <v>Good Performer</v>
      </c>
      <c r="M275" s="11">
        <v>27</v>
      </c>
      <c r="N275" s="11" t="str">
        <f t="shared" si="43"/>
        <v>Emerging Professional</v>
      </c>
      <c r="O275" s="11">
        <f t="shared" si="44"/>
        <v>33</v>
      </c>
      <c r="P275" s="12">
        <v>5739667</v>
      </c>
      <c r="Q275" t="str">
        <f t="shared" si="45"/>
        <v>Very High</v>
      </c>
    </row>
    <row r="276" spans="1:17" ht="12.5" x14ac:dyDescent="0.25">
      <c r="A276" s="9" t="s">
        <v>293</v>
      </c>
      <c r="B276" s="9" t="s">
        <v>20</v>
      </c>
      <c r="C276" s="9" t="s">
        <v>21</v>
      </c>
      <c r="D276" s="10">
        <v>41898</v>
      </c>
      <c r="E276" s="10" t="str">
        <f t="shared" si="38"/>
        <v>2014</v>
      </c>
      <c r="F276" s="10" t="str">
        <f t="shared" si="39"/>
        <v>Sep</v>
      </c>
      <c r="G276" s="10" t="str">
        <f t="shared" si="40"/>
        <v>Q3</v>
      </c>
      <c r="H276" s="11">
        <f t="shared" ca="1" si="37"/>
        <v>11</v>
      </c>
      <c r="I276" t="str">
        <f t="shared" ca="1" si="41"/>
        <v>Senior</v>
      </c>
      <c r="J276">
        <v>1</v>
      </c>
      <c r="K276" s="11">
        <v>2</v>
      </c>
      <c r="L276" s="11" t="str">
        <f t="shared" si="42"/>
        <v>Fair Performer</v>
      </c>
      <c r="M276" s="11">
        <v>22</v>
      </c>
      <c r="N276" s="11" t="str">
        <f t="shared" si="43"/>
        <v>Young Talent</v>
      </c>
      <c r="O276" s="11">
        <f t="shared" si="44"/>
        <v>38</v>
      </c>
      <c r="P276" s="12">
        <v>4458331</v>
      </c>
      <c r="Q276" t="str">
        <f t="shared" si="45"/>
        <v>High</v>
      </c>
    </row>
    <row r="277" spans="1:17" ht="12.5" x14ac:dyDescent="0.25">
      <c r="A277" s="9" t="s">
        <v>294</v>
      </c>
      <c r="B277" s="9" t="s">
        <v>36</v>
      </c>
      <c r="C277" s="9" t="s">
        <v>37</v>
      </c>
      <c r="D277" s="10">
        <v>44015</v>
      </c>
      <c r="E277" s="10" t="str">
        <f t="shared" si="38"/>
        <v>2020</v>
      </c>
      <c r="F277" s="10" t="str">
        <f t="shared" si="39"/>
        <v>Jul</v>
      </c>
      <c r="G277" s="10" t="str">
        <f t="shared" si="40"/>
        <v>Q3</v>
      </c>
      <c r="H277" s="11">
        <f t="shared" ca="1" si="37"/>
        <v>5</v>
      </c>
      <c r="I277" t="str">
        <f t="shared" ca="1" si="41"/>
        <v>Established</v>
      </c>
      <c r="J277">
        <v>6</v>
      </c>
      <c r="K277" s="11">
        <v>2</v>
      </c>
      <c r="L277" s="11" t="str">
        <f t="shared" si="42"/>
        <v>Fair Performer</v>
      </c>
      <c r="M277" s="11">
        <v>20</v>
      </c>
      <c r="N277" s="11" t="str">
        <f t="shared" si="43"/>
        <v>Young Talent</v>
      </c>
      <c r="O277" s="11">
        <f t="shared" si="44"/>
        <v>40</v>
      </c>
      <c r="P277" s="12">
        <v>4684308</v>
      </c>
      <c r="Q277" t="str">
        <f t="shared" si="45"/>
        <v>Very High</v>
      </c>
    </row>
    <row r="278" spans="1:17" ht="12.5" x14ac:dyDescent="0.25">
      <c r="A278" s="9" t="s">
        <v>295</v>
      </c>
      <c r="B278" s="9" t="s">
        <v>4</v>
      </c>
      <c r="C278" s="9" t="s">
        <v>5</v>
      </c>
      <c r="D278" s="10">
        <v>40964</v>
      </c>
      <c r="E278" s="10" t="str">
        <f t="shared" si="38"/>
        <v>2012</v>
      </c>
      <c r="F278" s="10" t="str">
        <f t="shared" si="39"/>
        <v>Feb</v>
      </c>
      <c r="G278" s="10" t="str">
        <f t="shared" si="40"/>
        <v>Q1</v>
      </c>
      <c r="H278" s="11">
        <f t="shared" ca="1" si="37"/>
        <v>13</v>
      </c>
      <c r="I278" t="str">
        <f t="shared" ca="1" si="41"/>
        <v>Senior</v>
      </c>
      <c r="J278">
        <v>1</v>
      </c>
      <c r="K278" s="11">
        <v>4</v>
      </c>
      <c r="L278" s="11" t="str">
        <f t="shared" si="42"/>
        <v>Good Performer</v>
      </c>
      <c r="M278" s="11">
        <v>47</v>
      </c>
      <c r="N278" s="11" t="str">
        <f t="shared" si="43"/>
        <v>Senior Professional</v>
      </c>
      <c r="O278" s="11">
        <f t="shared" si="44"/>
        <v>13</v>
      </c>
      <c r="P278" s="12">
        <v>3274519</v>
      </c>
      <c r="Q278" t="str">
        <f t="shared" si="45"/>
        <v>High</v>
      </c>
    </row>
    <row r="279" spans="1:17" ht="12.5" x14ac:dyDescent="0.25">
      <c r="A279" s="9" t="s">
        <v>296</v>
      </c>
      <c r="B279" s="9" t="s">
        <v>13</v>
      </c>
      <c r="C279" s="9" t="s">
        <v>14</v>
      </c>
      <c r="D279" s="10">
        <v>41803</v>
      </c>
      <c r="E279" s="10" t="str">
        <f t="shared" si="38"/>
        <v>2014</v>
      </c>
      <c r="F279" s="10" t="str">
        <f t="shared" si="39"/>
        <v>Jun</v>
      </c>
      <c r="G279" s="10" t="str">
        <f t="shared" si="40"/>
        <v>Q2</v>
      </c>
      <c r="H279" s="11">
        <f t="shared" ca="1" si="37"/>
        <v>11</v>
      </c>
      <c r="I279" t="str">
        <f t="shared" ca="1" si="41"/>
        <v>Senior</v>
      </c>
      <c r="J279">
        <v>1</v>
      </c>
      <c r="K279" s="11">
        <v>1</v>
      </c>
      <c r="L279" s="11" t="str">
        <f t="shared" si="42"/>
        <v>Poor Performer</v>
      </c>
      <c r="M279" s="11">
        <v>37</v>
      </c>
      <c r="N279" s="11" t="str">
        <f t="shared" si="43"/>
        <v>Established Professional</v>
      </c>
      <c r="O279" s="11">
        <f t="shared" si="44"/>
        <v>23</v>
      </c>
      <c r="P279" s="12">
        <v>1862777</v>
      </c>
      <c r="Q279" t="str">
        <f t="shared" si="45"/>
        <v>Low</v>
      </c>
    </row>
    <row r="280" spans="1:17" ht="12.5" x14ac:dyDescent="0.25">
      <c r="A280" s="9" t="s">
        <v>297</v>
      </c>
      <c r="B280" s="9" t="s">
        <v>16</v>
      </c>
      <c r="C280" s="9" t="s">
        <v>17</v>
      </c>
      <c r="D280" s="10">
        <v>39042</v>
      </c>
      <c r="E280" s="10" t="str">
        <f t="shared" si="38"/>
        <v>2006</v>
      </c>
      <c r="F280" s="10" t="str">
        <f t="shared" si="39"/>
        <v>Nov</v>
      </c>
      <c r="G280" s="10" t="str">
        <f t="shared" si="40"/>
        <v>Q4</v>
      </c>
      <c r="H280" s="11">
        <f t="shared" ca="1" si="37"/>
        <v>19</v>
      </c>
      <c r="I280" t="str">
        <f t="shared" ca="1" si="41"/>
        <v>Senior</v>
      </c>
      <c r="J280">
        <v>2</v>
      </c>
      <c r="K280" s="11">
        <v>4</v>
      </c>
      <c r="L280" s="11" t="str">
        <f t="shared" si="42"/>
        <v>Good Performer</v>
      </c>
      <c r="M280" s="11">
        <v>37</v>
      </c>
      <c r="N280" s="11" t="str">
        <f t="shared" si="43"/>
        <v>Established Professional</v>
      </c>
      <c r="O280" s="11">
        <f t="shared" si="44"/>
        <v>23</v>
      </c>
      <c r="P280" s="12">
        <v>4841853</v>
      </c>
      <c r="Q280" t="str">
        <f t="shared" si="45"/>
        <v>Very High</v>
      </c>
    </row>
    <row r="281" spans="1:17" ht="12.5" x14ac:dyDescent="0.25">
      <c r="A281" s="9" t="s">
        <v>298</v>
      </c>
      <c r="B281" s="9" t="s">
        <v>4</v>
      </c>
      <c r="C281" s="9" t="s">
        <v>5</v>
      </c>
      <c r="D281" s="10">
        <v>39051</v>
      </c>
      <c r="E281" s="10" t="str">
        <f t="shared" si="38"/>
        <v>2006</v>
      </c>
      <c r="F281" s="10" t="str">
        <f t="shared" si="39"/>
        <v>Nov</v>
      </c>
      <c r="G281" s="10" t="str">
        <f t="shared" si="40"/>
        <v>Q4</v>
      </c>
      <c r="H281" s="11">
        <f t="shared" ca="1" si="37"/>
        <v>19</v>
      </c>
      <c r="I281" t="str">
        <f t="shared" ca="1" si="41"/>
        <v>Senior</v>
      </c>
      <c r="J281">
        <v>3</v>
      </c>
      <c r="K281" s="11">
        <v>1</v>
      </c>
      <c r="L281" s="11" t="str">
        <f t="shared" si="42"/>
        <v>Poor Performer</v>
      </c>
      <c r="M281" s="11">
        <v>25</v>
      </c>
      <c r="N281" s="11" t="str">
        <f t="shared" si="43"/>
        <v>Emerging Professional</v>
      </c>
      <c r="O281" s="11">
        <f t="shared" si="44"/>
        <v>35</v>
      </c>
      <c r="P281" s="12">
        <v>1818273</v>
      </c>
      <c r="Q281" t="str">
        <f t="shared" si="45"/>
        <v>Low</v>
      </c>
    </row>
    <row r="282" spans="1:17" ht="12.5" x14ac:dyDescent="0.25">
      <c r="A282" s="9" t="s">
        <v>299</v>
      </c>
      <c r="B282" s="9" t="s">
        <v>16</v>
      </c>
      <c r="C282" s="9" t="s">
        <v>17</v>
      </c>
      <c r="D282" s="10">
        <v>41892</v>
      </c>
      <c r="E282" s="10" t="str">
        <f t="shared" si="38"/>
        <v>2014</v>
      </c>
      <c r="F282" s="10" t="str">
        <f t="shared" si="39"/>
        <v>Sep</v>
      </c>
      <c r="G282" s="10" t="str">
        <f t="shared" si="40"/>
        <v>Q3</v>
      </c>
      <c r="H282" s="11">
        <f t="shared" ca="1" si="37"/>
        <v>11</v>
      </c>
      <c r="I282" t="str">
        <f t="shared" ca="1" si="41"/>
        <v>Senior</v>
      </c>
      <c r="J282">
        <v>2</v>
      </c>
      <c r="K282" s="11">
        <v>4</v>
      </c>
      <c r="L282" s="11" t="str">
        <f t="shared" si="42"/>
        <v>Good Performer</v>
      </c>
      <c r="M282" s="11">
        <v>40</v>
      </c>
      <c r="N282" s="11" t="str">
        <f t="shared" si="43"/>
        <v>Established Professional</v>
      </c>
      <c r="O282" s="11">
        <f t="shared" si="44"/>
        <v>20</v>
      </c>
      <c r="P282" s="12">
        <v>2976661</v>
      </c>
      <c r="Q282" t="str">
        <f t="shared" si="45"/>
        <v>Medium</v>
      </c>
    </row>
    <row r="283" spans="1:17" ht="12.5" x14ac:dyDescent="0.25">
      <c r="A283" s="9" t="s">
        <v>300</v>
      </c>
      <c r="B283" s="9" t="s">
        <v>16</v>
      </c>
      <c r="C283" s="9" t="s">
        <v>17</v>
      </c>
      <c r="D283" s="10">
        <v>43099</v>
      </c>
      <c r="E283" s="10" t="str">
        <f t="shared" si="38"/>
        <v>2017</v>
      </c>
      <c r="F283" s="10" t="str">
        <f t="shared" si="39"/>
        <v>Dec</v>
      </c>
      <c r="G283" s="10" t="str">
        <f t="shared" si="40"/>
        <v>Q4</v>
      </c>
      <c r="H283" s="11">
        <f t="shared" ca="1" si="37"/>
        <v>8</v>
      </c>
      <c r="I283" t="str">
        <f t="shared" ca="1" si="41"/>
        <v>Established</v>
      </c>
      <c r="J283">
        <v>3</v>
      </c>
      <c r="K283" s="11">
        <v>2</v>
      </c>
      <c r="L283" s="11" t="str">
        <f t="shared" si="42"/>
        <v>Fair Performer</v>
      </c>
      <c r="M283" s="11">
        <v>28</v>
      </c>
      <c r="N283" s="11" t="str">
        <f t="shared" si="43"/>
        <v>Emerging Professional</v>
      </c>
      <c r="O283" s="11">
        <f t="shared" si="44"/>
        <v>32</v>
      </c>
      <c r="P283" s="12">
        <v>4198338</v>
      </c>
      <c r="Q283" t="str">
        <f t="shared" si="45"/>
        <v>High</v>
      </c>
    </row>
    <row r="284" spans="1:17" ht="12.5" x14ac:dyDescent="0.25">
      <c r="A284" s="9" t="s">
        <v>301</v>
      </c>
      <c r="B284" s="9" t="s">
        <v>36</v>
      </c>
      <c r="C284" s="9" t="s">
        <v>37</v>
      </c>
      <c r="D284" s="10">
        <v>42553</v>
      </c>
      <c r="E284" s="10" t="str">
        <f t="shared" si="38"/>
        <v>2016</v>
      </c>
      <c r="F284" s="10" t="str">
        <f t="shared" si="39"/>
        <v>Jul</v>
      </c>
      <c r="G284" s="10" t="str">
        <f t="shared" si="40"/>
        <v>Q3</v>
      </c>
      <c r="H284" s="11">
        <f t="shared" ca="1" si="37"/>
        <v>9</v>
      </c>
      <c r="I284" t="str">
        <f t="shared" ca="1" si="41"/>
        <v>Established</v>
      </c>
      <c r="J284">
        <v>1</v>
      </c>
      <c r="K284" s="11">
        <v>1</v>
      </c>
      <c r="L284" s="11" t="str">
        <f t="shared" si="42"/>
        <v>Poor Performer</v>
      </c>
      <c r="M284" s="11">
        <v>47</v>
      </c>
      <c r="N284" s="11" t="str">
        <f t="shared" si="43"/>
        <v>Senior Professional</v>
      </c>
      <c r="O284" s="11">
        <f t="shared" si="44"/>
        <v>13</v>
      </c>
      <c r="P284" s="12">
        <v>3489186</v>
      </c>
      <c r="Q284" t="str">
        <f t="shared" si="45"/>
        <v>High</v>
      </c>
    </row>
    <row r="285" spans="1:17" ht="12.5" x14ac:dyDescent="0.25">
      <c r="A285" s="9" t="s">
        <v>302</v>
      </c>
      <c r="B285" s="9" t="s">
        <v>10</v>
      </c>
      <c r="C285" s="9" t="s">
        <v>11</v>
      </c>
      <c r="D285" s="10">
        <v>41570</v>
      </c>
      <c r="E285" s="10" t="str">
        <f t="shared" si="38"/>
        <v>2013</v>
      </c>
      <c r="F285" s="10" t="str">
        <f t="shared" si="39"/>
        <v>Oct</v>
      </c>
      <c r="G285" s="10" t="str">
        <f t="shared" si="40"/>
        <v>Q4</v>
      </c>
      <c r="H285" s="11">
        <f t="shared" ca="1" si="37"/>
        <v>12</v>
      </c>
      <c r="I285" t="str">
        <f t="shared" ca="1" si="41"/>
        <v>Senior</v>
      </c>
      <c r="J285">
        <v>6</v>
      </c>
      <c r="K285" s="11">
        <v>2</v>
      </c>
      <c r="L285" s="11" t="str">
        <f t="shared" si="42"/>
        <v>Fair Performer</v>
      </c>
      <c r="M285" s="11">
        <v>22</v>
      </c>
      <c r="N285" s="11" t="str">
        <f t="shared" si="43"/>
        <v>Young Talent</v>
      </c>
      <c r="O285" s="11">
        <f t="shared" si="44"/>
        <v>38</v>
      </c>
      <c r="P285" s="12">
        <v>1330488</v>
      </c>
      <c r="Q285" t="str">
        <f t="shared" si="45"/>
        <v>Low</v>
      </c>
    </row>
    <row r="286" spans="1:17" ht="12.5" x14ac:dyDescent="0.25">
      <c r="A286" s="9" t="s">
        <v>303</v>
      </c>
      <c r="B286" s="9" t="s">
        <v>7</v>
      </c>
      <c r="C286" s="9" t="s">
        <v>8</v>
      </c>
      <c r="D286" s="10">
        <v>41689</v>
      </c>
      <c r="E286" s="10" t="str">
        <f t="shared" si="38"/>
        <v>2014</v>
      </c>
      <c r="F286" s="10" t="str">
        <f t="shared" si="39"/>
        <v>Feb</v>
      </c>
      <c r="G286" s="10" t="str">
        <f t="shared" si="40"/>
        <v>Q1</v>
      </c>
      <c r="H286" s="11">
        <f t="shared" ca="1" si="37"/>
        <v>11</v>
      </c>
      <c r="I286" t="str">
        <f t="shared" ca="1" si="41"/>
        <v>Senior</v>
      </c>
      <c r="J286">
        <v>6</v>
      </c>
      <c r="K286" s="11">
        <v>5</v>
      </c>
      <c r="L286" s="11" t="str">
        <f t="shared" si="42"/>
        <v>Excellent Performer</v>
      </c>
      <c r="M286" s="11">
        <v>22</v>
      </c>
      <c r="N286" s="11" t="str">
        <f t="shared" si="43"/>
        <v>Young Talent</v>
      </c>
      <c r="O286" s="11">
        <f t="shared" si="44"/>
        <v>38</v>
      </c>
      <c r="P286" s="12">
        <v>4526647</v>
      </c>
      <c r="Q286" t="str">
        <f t="shared" si="45"/>
        <v>Very High</v>
      </c>
    </row>
    <row r="287" spans="1:17" ht="12.5" x14ac:dyDescent="0.25">
      <c r="A287" s="9" t="s">
        <v>304</v>
      </c>
      <c r="B287" s="9" t="s">
        <v>7</v>
      </c>
      <c r="C287" s="9" t="s">
        <v>8</v>
      </c>
      <c r="D287" s="10">
        <v>45160</v>
      </c>
      <c r="E287" s="10" t="str">
        <f t="shared" si="38"/>
        <v>2023</v>
      </c>
      <c r="F287" s="10" t="str">
        <f t="shared" si="39"/>
        <v>Aug</v>
      </c>
      <c r="G287" s="10" t="str">
        <f t="shared" si="40"/>
        <v>Q3</v>
      </c>
      <c r="H287" s="11">
        <f t="shared" ca="1" si="37"/>
        <v>2</v>
      </c>
      <c r="I287" t="str">
        <f t="shared" ca="1" si="41"/>
        <v>Junior</v>
      </c>
      <c r="J287">
        <v>1</v>
      </c>
      <c r="K287" s="11">
        <v>3</v>
      </c>
      <c r="L287" s="11" t="str">
        <f t="shared" si="42"/>
        <v>Average Performer</v>
      </c>
      <c r="M287" s="11">
        <v>23</v>
      </c>
      <c r="N287" s="11" t="str">
        <f t="shared" si="43"/>
        <v>Young Talent</v>
      </c>
      <c r="O287" s="11">
        <f t="shared" si="44"/>
        <v>37</v>
      </c>
      <c r="P287" s="12">
        <v>4932787</v>
      </c>
      <c r="Q287" t="str">
        <f t="shared" si="45"/>
        <v>Very High</v>
      </c>
    </row>
    <row r="288" spans="1:17" ht="12.5" x14ac:dyDescent="0.25">
      <c r="A288" s="9" t="s">
        <v>305</v>
      </c>
      <c r="B288" s="9" t="s">
        <v>49</v>
      </c>
      <c r="C288" s="9" t="s">
        <v>50</v>
      </c>
      <c r="D288" s="10">
        <v>38885</v>
      </c>
      <c r="E288" s="10" t="str">
        <f t="shared" si="38"/>
        <v>2006</v>
      </c>
      <c r="F288" s="10" t="str">
        <f t="shared" si="39"/>
        <v>Jun</v>
      </c>
      <c r="G288" s="10" t="str">
        <f t="shared" si="40"/>
        <v>Q2</v>
      </c>
      <c r="H288" s="11">
        <f t="shared" ca="1" si="37"/>
        <v>19</v>
      </c>
      <c r="I288" t="str">
        <f t="shared" ca="1" si="41"/>
        <v>Senior</v>
      </c>
      <c r="J288">
        <v>3</v>
      </c>
      <c r="K288" s="11">
        <v>2</v>
      </c>
      <c r="L288" s="11" t="str">
        <f t="shared" si="42"/>
        <v>Fair Performer</v>
      </c>
      <c r="M288" s="11">
        <v>30</v>
      </c>
      <c r="N288" s="11" t="str">
        <f t="shared" si="43"/>
        <v>Emerging Professional</v>
      </c>
      <c r="O288" s="11">
        <f t="shared" si="44"/>
        <v>30</v>
      </c>
      <c r="P288" s="12">
        <v>4954331</v>
      </c>
      <c r="Q288" t="str">
        <f t="shared" si="45"/>
        <v>Very High</v>
      </c>
    </row>
    <row r="289" spans="1:17" ht="12.5" x14ac:dyDescent="0.25">
      <c r="A289" s="9" t="s">
        <v>306</v>
      </c>
      <c r="B289" s="9" t="s">
        <v>7</v>
      </c>
      <c r="C289" s="9" t="s">
        <v>8</v>
      </c>
      <c r="D289" s="10">
        <v>41789</v>
      </c>
      <c r="E289" s="10" t="str">
        <f t="shared" si="38"/>
        <v>2014</v>
      </c>
      <c r="F289" s="10" t="str">
        <f t="shared" si="39"/>
        <v>May</v>
      </c>
      <c r="G289" s="10" t="str">
        <f t="shared" si="40"/>
        <v>Q2</v>
      </c>
      <c r="H289" s="11">
        <f t="shared" ca="1" si="37"/>
        <v>11</v>
      </c>
      <c r="I289" t="str">
        <f t="shared" ca="1" si="41"/>
        <v>Senior</v>
      </c>
      <c r="J289">
        <v>1</v>
      </c>
      <c r="K289" s="11">
        <v>2</v>
      </c>
      <c r="L289" s="11" t="str">
        <f t="shared" si="42"/>
        <v>Fair Performer</v>
      </c>
      <c r="M289" s="11">
        <v>32</v>
      </c>
      <c r="N289" s="11" t="str">
        <f t="shared" si="43"/>
        <v>Emerging Professional</v>
      </c>
      <c r="O289" s="11">
        <f t="shared" si="44"/>
        <v>28</v>
      </c>
      <c r="P289" s="12">
        <v>4595271</v>
      </c>
      <c r="Q289" t="str">
        <f t="shared" si="45"/>
        <v>Very High</v>
      </c>
    </row>
    <row r="290" spans="1:17" ht="12.5" x14ac:dyDescent="0.25">
      <c r="A290" s="9" t="s">
        <v>307</v>
      </c>
      <c r="B290" s="9" t="s">
        <v>36</v>
      </c>
      <c r="C290" s="9" t="s">
        <v>37</v>
      </c>
      <c r="D290" s="10">
        <v>44527</v>
      </c>
      <c r="E290" s="10" t="str">
        <f t="shared" si="38"/>
        <v>2021</v>
      </c>
      <c r="F290" s="10" t="str">
        <f t="shared" si="39"/>
        <v>Nov</v>
      </c>
      <c r="G290" s="10" t="str">
        <f t="shared" si="40"/>
        <v>Q4</v>
      </c>
      <c r="H290" s="11">
        <f t="shared" ca="1" si="37"/>
        <v>4</v>
      </c>
      <c r="I290" t="str">
        <f t="shared" ca="1" si="41"/>
        <v>Junior</v>
      </c>
      <c r="J290">
        <v>2</v>
      </c>
      <c r="K290" s="11">
        <v>2</v>
      </c>
      <c r="L290" s="11" t="str">
        <f t="shared" si="42"/>
        <v>Fair Performer</v>
      </c>
      <c r="M290" s="11">
        <v>23</v>
      </c>
      <c r="N290" s="11" t="str">
        <f t="shared" si="43"/>
        <v>Young Talent</v>
      </c>
      <c r="O290" s="11">
        <f t="shared" si="44"/>
        <v>37</v>
      </c>
      <c r="P290" s="12">
        <v>565963</v>
      </c>
      <c r="Q290" t="str">
        <f t="shared" si="45"/>
        <v>Low</v>
      </c>
    </row>
    <row r="291" spans="1:17" ht="12.5" x14ac:dyDescent="0.25">
      <c r="A291" s="9" t="s">
        <v>308</v>
      </c>
      <c r="B291" s="9" t="s">
        <v>4</v>
      </c>
      <c r="C291" s="9" t="s">
        <v>5</v>
      </c>
      <c r="D291" s="10">
        <v>39019</v>
      </c>
      <c r="E291" s="10" t="str">
        <f t="shared" si="38"/>
        <v>2006</v>
      </c>
      <c r="F291" s="10" t="str">
        <f t="shared" si="39"/>
        <v>Oct</v>
      </c>
      <c r="G291" s="10" t="str">
        <f t="shared" si="40"/>
        <v>Q4</v>
      </c>
      <c r="H291" s="11">
        <f t="shared" ca="1" si="37"/>
        <v>19</v>
      </c>
      <c r="I291" t="str">
        <f t="shared" ca="1" si="41"/>
        <v>Senior</v>
      </c>
      <c r="J291">
        <v>4</v>
      </c>
      <c r="K291" s="11">
        <v>2</v>
      </c>
      <c r="L291" s="11" t="str">
        <f t="shared" si="42"/>
        <v>Fair Performer</v>
      </c>
      <c r="M291" s="11">
        <v>47</v>
      </c>
      <c r="N291" s="11" t="str">
        <f t="shared" si="43"/>
        <v>Senior Professional</v>
      </c>
      <c r="O291" s="11">
        <f t="shared" si="44"/>
        <v>13</v>
      </c>
      <c r="P291" s="12">
        <v>3474524</v>
      </c>
      <c r="Q291" t="str">
        <f t="shared" si="45"/>
        <v>High</v>
      </c>
    </row>
    <row r="292" spans="1:17" ht="12.5" x14ac:dyDescent="0.25">
      <c r="A292" s="9" t="s">
        <v>309</v>
      </c>
      <c r="B292" s="9" t="s">
        <v>13</v>
      </c>
      <c r="C292" s="9" t="s">
        <v>14</v>
      </c>
      <c r="D292" s="10">
        <v>43099</v>
      </c>
      <c r="E292" s="10" t="str">
        <f t="shared" si="38"/>
        <v>2017</v>
      </c>
      <c r="F292" s="10" t="str">
        <f t="shared" si="39"/>
        <v>Dec</v>
      </c>
      <c r="G292" s="10" t="str">
        <f t="shared" si="40"/>
        <v>Q4</v>
      </c>
      <c r="H292" s="11">
        <f t="shared" ca="1" si="37"/>
        <v>8</v>
      </c>
      <c r="I292" t="str">
        <f t="shared" ca="1" si="41"/>
        <v>Established</v>
      </c>
      <c r="J292">
        <v>6</v>
      </c>
      <c r="K292" s="11">
        <v>3</v>
      </c>
      <c r="L292" s="11" t="str">
        <f t="shared" si="42"/>
        <v>Average Performer</v>
      </c>
      <c r="M292" s="11">
        <v>25</v>
      </c>
      <c r="N292" s="11" t="str">
        <f t="shared" si="43"/>
        <v>Emerging Professional</v>
      </c>
      <c r="O292" s="11">
        <f t="shared" si="44"/>
        <v>35</v>
      </c>
      <c r="P292" s="12">
        <v>2956585</v>
      </c>
      <c r="Q292" t="str">
        <f t="shared" si="45"/>
        <v>Medium</v>
      </c>
    </row>
    <row r="293" spans="1:17" ht="12.5" x14ac:dyDescent="0.25">
      <c r="A293" s="9" t="s">
        <v>310</v>
      </c>
      <c r="B293" s="9" t="s">
        <v>49</v>
      </c>
      <c r="C293" s="9" t="s">
        <v>50</v>
      </c>
      <c r="D293" s="10">
        <v>38095</v>
      </c>
      <c r="E293" s="10" t="str">
        <f t="shared" si="38"/>
        <v>2004</v>
      </c>
      <c r="F293" s="10" t="str">
        <f t="shared" si="39"/>
        <v>Apr</v>
      </c>
      <c r="G293" s="10" t="str">
        <f t="shared" si="40"/>
        <v>Q2</v>
      </c>
      <c r="H293" s="11">
        <f t="shared" ca="1" si="37"/>
        <v>21</v>
      </c>
      <c r="I293" t="str">
        <f t="shared" ca="1" si="41"/>
        <v>Senior</v>
      </c>
      <c r="J293">
        <v>4</v>
      </c>
      <c r="K293" s="11">
        <v>3</v>
      </c>
      <c r="L293" s="11" t="str">
        <f t="shared" si="42"/>
        <v>Average Performer</v>
      </c>
      <c r="M293" s="11">
        <v>50</v>
      </c>
      <c r="N293" s="11" t="str">
        <f t="shared" si="43"/>
        <v>Senior Professional</v>
      </c>
      <c r="O293" s="11">
        <f t="shared" si="44"/>
        <v>10</v>
      </c>
      <c r="P293" s="12">
        <v>3082247</v>
      </c>
      <c r="Q293" t="str">
        <f t="shared" si="45"/>
        <v>Medium</v>
      </c>
    </row>
    <row r="294" spans="1:17" ht="12.5" x14ac:dyDescent="0.25">
      <c r="A294" s="9" t="s">
        <v>311</v>
      </c>
      <c r="B294" s="9" t="s">
        <v>13</v>
      </c>
      <c r="C294" s="9" t="s">
        <v>14</v>
      </c>
      <c r="D294" s="10">
        <v>41534</v>
      </c>
      <c r="E294" s="10" t="str">
        <f t="shared" si="38"/>
        <v>2013</v>
      </c>
      <c r="F294" s="10" t="str">
        <f t="shared" si="39"/>
        <v>Sep</v>
      </c>
      <c r="G294" s="10" t="str">
        <f t="shared" si="40"/>
        <v>Q3</v>
      </c>
      <c r="H294" s="11">
        <f t="shared" ca="1" si="37"/>
        <v>12</v>
      </c>
      <c r="I294" t="str">
        <f t="shared" ca="1" si="41"/>
        <v>Senior</v>
      </c>
      <c r="J294">
        <v>5</v>
      </c>
      <c r="K294" s="11">
        <v>4</v>
      </c>
      <c r="L294" s="11" t="str">
        <f t="shared" si="42"/>
        <v>Good Performer</v>
      </c>
      <c r="M294" s="11">
        <v>50</v>
      </c>
      <c r="N294" s="11" t="str">
        <f t="shared" si="43"/>
        <v>Senior Professional</v>
      </c>
      <c r="O294" s="11">
        <f t="shared" si="44"/>
        <v>10</v>
      </c>
      <c r="P294" s="12">
        <v>3232209</v>
      </c>
      <c r="Q294" t="str">
        <f t="shared" si="45"/>
        <v>High</v>
      </c>
    </row>
    <row r="295" spans="1:17" ht="12.5" x14ac:dyDescent="0.25">
      <c r="A295" s="9" t="s">
        <v>312</v>
      </c>
      <c r="B295" s="9" t="s">
        <v>13</v>
      </c>
      <c r="C295" s="9" t="s">
        <v>14</v>
      </c>
      <c r="D295" s="10">
        <v>42069</v>
      </c>
      <c r="E295" s="10" t="str">
        <f t="shared" si="38"/>
        <v>2015</v>
      </c>
      <c r="F295" s="10" t="str">
        <f t="shared" si="39"/>
        <v>Mar</v>
      </c>
      <c r="G295" s="10" t="str">
        <f t="shared" si="40"/>
        <v>Q1</v>
      </c>
      <c r="H295" s="11">
        <f t="shared" ca="1" si="37"/>
        <v>10</v>
      </c>
      <c r="I295" t="str">
        <f t="shared" ca="1" si="41"/>
        <v>Senior</v>
      </c>
      <c r="J295">
        <v>5</v>
      </c>
      <c r="K295" s="11">
        <v>2</v>
      </c>
      <c r="L295" s="11" t="str">
        <f t="shared" si="42"/>
        <v>Fair Performer</v>
      </c>
      <c r="M295" s="11">
        <v>19</v>
      </c>
      <c r="N295" s="11" t="str">
        <f t="shared" si="43"/>
        <v>Young Talent</v>
      </c>
      <c r="O295" s="11">
        <f t="shared" si="44"/>
        <v>41</v>
      </c>
      <c r="P295" s="12">
        <v>2469216</v>
      </c>
      <c r="Q295" t="str">
        <f t="shared" si="45"/>
        <v>Low</v>
      </c>
    </row>
    <row r="296" spans="1:17" ht="12.5" x14ac:dyDescent="0.25">
      <c r="A296" s="9" t="s">
        <v>313</v>
      </c>
      <c r="B296" s="9" t="s">
        <v>7</v>
      </c>
      <c r="C296" s="9" t="s">
        <v>8</v>
      </c>
      <c r="D296" s="10">
        <v>40037</v>
      </c>
      <c r="E296" s="10" t="str">
        <f t="shared" si="38"/>
        <v>2009</v>
      </c>
      <c r="F296" s="10" t="str">
        <f t="shared" si="39"/>
        <v>Aug</v>
      </c>
      <c r="G296" s="10" t="str">
        <f t="shared" si="40"/>
        <v>Q3</v>
      </c>
      <c r="H296" s="11">
        <f t="shared" ca="1" si="37"/>
        <v>16</v>
      </c>
      <c r="I296" t="str">
        <f t="shared" ca="1" si="41"/>
        <v>Senior</v>
      </c>
      <c r="J296">
        <v>6</v>
      </c>
      <c r="K296" s="11">
        <v>5</v>
      </c>
      <c r="L296" s="11" t="str">
        <f t="shared" si="42"/>
        <v>Excellent Performer</v>
      </c>
      <c r="M296" s="11">
        <v>43</v>
      </c>
      <c r="N296" s="11" t="str">
        <f t="shared" si="43"/>
        <v>Established Professional</v>
      </c>
      <c r="O296" s="11">
        <f t="shared" si="44"/>
        <v>17</v>
      </c>
      <c r="P296" s="12">
        <v>4818049</v>
      </c>
      <c r="Q296" t="str">
        <f t="shared" si="45"/>
        <v>Very High</v>
      </c>
    </row>
    <row r="297" spans="1:17" ht="12.5" x14ac:dyDescent="0.25">
      <c r="A297" s="9" t="s">
        <v>314</v>
      </c>
      <c r="B297" s="9" t="s">
        <v>4</v>
      </c>
      <c r="C297" s="9" t="s">
        <v>5</v>
      </c>
      <c r="D297" s="10">
        <v>40650</v>
      </c>
      <c r="E297" s="10" t="str">
        <f t="shared" si="38"/>
        <v>2011</v>
      </c>
      <c r="F297" s="10" t="str">
        <f t="shared" si="39"/>
        <v>Apr</v>
      </c>
      <c r="G297" s="10" t="str">
        <f t="shared" si="40"/>
        <v>Q2</v>
      </c>
      <c r="H297" s="11">
        <f t="shared" ca="1" si="37"/>
        <v>14</v>
      </c>
      <c r="I297" t="str">
        <f t="shared" ca="1" si="41"/>
        <v>Senior</v>
      </c>
      <c r="J297">
        <v>4</v>
      </c>
      <c r="K297" s="11">
        <v>3</v>
      </c>
      <c r="L297" s="11" t="str">
        <f t="shared" si="42"/>
        <v>Average Performer</v>
      </c>
      <c r="M297" s="11">
        <v>40</v>
      </c>
      <c r="N297" s="11" t="str">
        <f t="shared" si="43"/>
        <v>Established Professional</v>
      </c>
      <c r="O297" s="11">
        <f t="shared" si="44"/>
        <v>20</v>
      </c>
      <c r="P297" s="12">
        <v>4926379</v>
      </c>
      <c r="Q297" t="str">
        <f t="shared" si="45"/>
        <v>Very High</v>
      </c>
    </row>
    <row r="298" spans="1:17" ht="12.5" x14ac:dyDescent="0.25">
      <c r="A298" s="9" t="s">
        <v>315</v>
      </c>
      <c r="B298" s="9" t="s">
        <v>10</v>
      </c>
      <c r="C298" s="9" t="s">
        <v>11</v>
      </c>
      <c r="D298" s="10">
        <v>44792</v>
      </c>
      <c r="E298" s="10" t="str">
        <f t="shared" si="38"/>
        <v>2022</v>
      </c>
      <c r="F298" s="10" t="str">
        <f t="shared" si="39"/>
        <v>Aug</v>
      </c>
      <c r="G298" s="10" t="str">
        <f t="shared" si="40"/>
        <v>Q3</v>
      </c>
      <c r="H298" s="11">
        <f t="shared" ca="1" si="37"/>
        <v>3</v>
      </c>
      <c r="I298" t="str">
        <f t="shared" ca="1" si="41"/>
        <v>Junior</v>
      </c>
      <c r="J298">
        <v>6</v>
      </c>
      <c r="K298" s="11">
        <v>3</v>
      </c>
      <c r="L298" s="11" t="str">
        <f t="shared" si="42"/>
        <v>Average Performer</v>
      </c>
      <c r="M298" s="11">
        <v>38</v>
      </c>
      <c r="N298" s="11" t="str">
        <f t="shared" si="43"/>
        <v>Established Professional</v>
      </c>
      <c r="O298" s="11">
        <f t="shared" si="44"/>
        <v>22</v>
      </c>
      <c r="P298" s="12">
        <v>5414281</v>
      </c>
      <c r="Q298" t="str">
        <f t="shared" si="45"/>
        <v>Very High</v>
      </c>
    </row>
    <row r="299" spans="1:17" ht="12.5" x14ac:dyDescent="0.25">
      <c r="A299" s="9" t="s">
        <v>316</v>
      </c>
      <c r="B299" s="9" t="s">
        <v>7</v>
      </c>
      <c r="C299" s="9" t="s">
        <v>8</v>
      </c>
      <c r="D299" s="10">
        <v>38905</v>
      </c>
      <c r="E299" s="10" t="str">
        <f t="shared" si="38"/>
        <v>2006</v>
      </c>
      <c r="F299" s="10" t="str">
        <f t="shared" si="39"/>
        <v>Jul</v>
      </c>
      <c r="G299" s="10" t="str">
        <f t="shared" si="40"/>
        <v>Q3</v>
      </c>
      <c r="H299" s="11">
        <f t="shared" ca="1" si="37"/>
        <v>19</v>
      </c>
      <c r="I299" t="str">
        <f t="shared" ca="1" si="41"/>
        <v>Senior</v>
      </c>
      <c r="J299">
        <v>4</v>
      </c>
      <c r="K299" s="11">
        <v>1</v>
      </c>
      <c r="L299" s="11" t="str">
        <f t="shared" si="42"/>
        <v>Poor Performer</v>
      </c>
      <c r="M299" s="11">
        <v>24</v>
      </c>
      <c r="N299" s="11" t="str">
        <f t="shared" si="43"/>
        <v>Young Talent</v>
      </c>
      <c r="O299" s="11">
        <f t="shared" si="44"/>
        <v>36</v>
      </c>
      <c r="P299" s="12">
        <v>2652462</v>
      </c>
      <c r="Q299" t="str">
        <f t="shared" si="45"/>
        <v>Medium</v>
      </c>
    </row>
    <row r="300" spans="1:17" ht="12.5" x14ac:dyDescent="0.25">
      <c r="A300" s="9" t="s">
        <v>317</v>
      </c>
      <c r="B300" s="9" t="s">
        <v>13</v>
      </c>
      <c r="C300" s="9" t="s">
        <v>14</v>
      </c>
      <c r="D300" s="10">
        <v>42932</v>
      </c>
      <c r="E300" s="10" t="str">
        <f t="shared" si="38"/>
        <v>2017</v>
      </c>
      <c r="F300" s="10" t="str">
        <f t="shared" si="39"/>
        <v>Jul</v>
      </c>
      <c r="G300" s="10" t="str">
        <f t="shared" si="40"/>
        <v>Q3</v>
      </c>
      <c r="H300" s="11">
        <f t="shared" ca="1" si="37"/>
        <v>8</v>
      </c>
      <c r="I300" t="str">
        <f t="shared" ca="1" si="41"/>
        <v>Established</v>
      </c>
      <c r="J300">
        <v>7</v>
      </c>
      <c r="K300" s="11">
        <v>3</v>
      </c>
      <c r="L300" s="11" t="str">
        <f t="shared" si="42"/>
        <v>Average Performer</v>
      </c>
      <c r="M300" s="11">
        <v>32</v>
      </c>
      <c r="N300" s="11" t="str">
        <f t="shared" si="43"/>
        <v>Emerging Professional</v>
      </c>
      <c r="O300" s="11">
        <f t="shared" si="44"/>
        <v>28</v>
      </c>
      <c r="P300" s="12">
        <v>2921433</v>
      </c>
      <c r="Q300" t="str">
        <f t="shared" si="45"/>
        <v>Medium</v>
      </c>
    </row>
    <row r="301" spans="1:17" ht="12.5" x14ac:dyDescent="0.25">
      <c r="A301" s="9" t="s">
        <v>318</v>
      </c>
      <c r="B301" s="9" t="s">
        <v>4</v>
      </c>
      <c r="C301" s="9" t="s">
        <v>5</v>
      </c>
      <c r="D301" s="10">
        <v>42744</v>
      </c>
      <c r="E301" s="10" t="str">
        <f t="shared" si="38"/>
        <v>2017</v>
      </c>
      <c r="F301" s="10" t="str">
        <f t="shared" si="39"/>
        <v>Jan</v>
      </c>
      <c r="G301" s="10" t="str">
        <f t="shared" si="40"/>
        <v>Q1</v>
      </c>
      <c r="H301" s="11">
        <f t="shared" ca="1" si="37"/>
        <v>8</v>
      </c>
      <c r="I301" t="str">
        <f t="shared" ca="1" si="41"/>
        <v>Established</v>
      </c>
      <c r="J301">
        <v>7</v>
      </c>
      <c r="K301" s="11">
        <v>5</v>
      </c>
      <c r="L301" s="11" t="str">
        <f t="shared" si="42"/>
        <v>Excellent Performer</v>
      </c>
      <c r="M301" s="11">
        <v>24</v>
      </c>
      <c r="N301" s="11" t="str">
        <f t="shared" si="43"/>
        <v>Young Talent</v>
      </c>
      <c r="O301" s="11">
        <f t="shared" si="44"/>
        <v>36</v>
      </c>
      <c r="P301" s="12">
        <v>3383745</v>
      </c>
      <c r="Q301" t="str">
        <f t="shared" si="45"/>
        <v>High</v>
      </c>
    </row>
    <row r="302" spans="1:17" ht="12.5" x14ac:dyDescent="0.25">
      <c r="A302" s="9" t="s">
        <v>319</v>
      </c>
      <c r="B302" s="9" t="s">
        <v>20</v>
      </c>
      <c r="C302" s="9" t="s">
        <v>21</v>
      </c>
      <c r="D302" s="10">
        <v>38031</v>
      </c>
      <c r="E302" s="10" t="str">
        <f t="shared" si="38"/>
        <v>2004</v>
      </c>
      <c r="F302" s="10" t="str">
        <f t="shared" si="39"/>
        <v>Feb</v>
      </c>
      <c r="G302" s="10" t="str">
        <f t="shared" si="40"/>
        <v>Q1</v>
      </c>
      <c r="H302" s="11">
        <f t="shared" ca="1" si="37"/>
        <v>21</v>
      </c>
      <c r="I302" t="str">
        <f t="shared" ca="1" si="41"/>
        <v>Senior</v>
      </c>
      <c r="J302">
        <v>3</v>
      </c>
      <c r="K302" s="11">
        <v>3</v>
      </c>
      <c r="L302" s="11" t="str">
        <f t="shared" si="42"/>
        <v>Average Performer</v>
      </c>
      <c r="M302" s="11">
        <v>48</v>
      </c>
      <c r="N302" s="11" t="str">
        <f t="shared" si="43"/>
        <v>Senior Professional</v>
      </c>
      <c r="O302" s="11">
        <f t="shared" si="44"/>
        <v>12</v>
      </c>
      <c r="P302" s="12">
        <v>2539265</v>
      </c>
      <c r="Q302" t="str">
        <f t="shared" si="45"/>
        <v>Medium</v>
      </c>
    </row>
    <row r="303" spans="1:17" ht="12.5" x14ac:dyDescent="0.25">
      <c r="A303" s="9" t="s">
        <v>320</v>
      </c>
      <c r="B303" s="9" t="s">
        <v>4</v>
      </c>
      <c r="C303" s="9" t="s">
        <v>5</v>
      </c>
      <c r="D303" s="10">
        <v>41200</v>
      </c>
      <c r="E303" s="10" t="str">
        <f t="shared" si="38"/>
        <v>2012</v>
      </c>
      <c r="F303" s="10" t="str">
        <f t="shared" si="39"/>
        <v>Oct</v>
      </c>
      <c r="G303" s="10" t="str">
        <f t="shared" si="40"/>
        <v>Q4</v>
      </c>
      <c r="H303" s="11">
        <f t="shared" ca="1" si="37"/>
        <v>13</v>
      </c>
      <c r="I303" t="str">
        <f t="shared" ca="1" si="41"/>
        <v>Senior</v>
      </c>
      <c r="J303">
        <v>1</v>
      </c>
      <c r="K303" s="11">
        <v>4</v>
      </c>
      <c r="L303" s="11" t="str">
        <f t="shared" si="42"/>
        <v>Good Performer</v>
      </c>
      <c r="M303" s="11">
        <v>23</v>
      </c>
      <c r="N303" s="11" t="str">
        <f t="shared" si="43"/>
        <v>Young Talent</v>
      </c>
      <c r="O303" s="11">
        <f t="shared" si="44"/>
        <v>37</v>
      </c>
      <c r="P303" s="12">
        <v>5684858</v>
      </c>
      <c r="Q303" t="str">
        <f t="shared" si="45"/>
        <v>Very High</v>
      </c>
    </row>
    <row r="304" spans="1:17" ht="12.5" x14ac:dyDescent="0.25">
      <c r="A304" s="9" t="s">
        <v>321</v>
      </c>
      <c r="B304" s="9" t="s">
        <v>13</v>
      </c>
      <c r="C304" s="9" t="s">
        <v>14</v>
      </c>
      <c r="D304" s="10">
        <v>41250</v>
      </c>
      <c r="E304" s="10" t="str">
        <f t="shared" si="38"/>
        <v>2012</v>
      </c>
      <c r="F304" s="10" t="str">
        <f t="shared" si="39"/>
        <v>Dec</v>
      </c>
      <c r="G304" s="10" t="str">
        <f t="shared" si="40"/>
        <v>Q4</v>
      </c>
      <c r="H304" s="11">
        <f t="shared" ca="1" si="37"/>
        <v>13</v>
      </c>
      <c r="I304" t="str">
        <f t="shared" ca="1" si="41"/>
        <v>Senior</v>
      </c>
      <c r="J304">
        <v>5</v>
      </c>
      <c r="K304" s="11">
        <v>4</v>
      </c>
      <c r="L304" s="11" t="str">
        <f t="shared" si="42"/>
        <v>Good Performer</v>
      </c>
      <c r="M304" s="11">
        <v>27</v>
      </c>
      <c r="N304" s="11" t="str">
        <f t="shared" si="43"/>
        <v>Emerging Professional</v>
      </c>
      <c r="O304" s="11">
        <f t="shared" si="44"/>
        <v>33</v>
      </c>
      <c r="P304" s="12">
        <v>3142331</v>
      </c>
      <c r="Q304" t="str">
        <f t="shared" si="45"/>
        <v>High</v>
      </c>
    </row>
    <row r="305" spans="1:17" ht="12.5" x14ac:dyDescent="0.25">
      <c r="A305" s="9" t="s">
        <v>322</v>
      </c>
      <c r="B305" s="9" t="s">
        <v>20</v>
      </c>
      <c r="C305" s="9" t="s">
        <v>21</v>
      </c>
      <c r="D305" s="10">
        <v>40525</v>
      </c>
      <c r="E305" s="10" t="str">
        <f t="shared" si="38"/>
        <v>2010</v>
      </c>
      <c r="F305" s="10" t="str">
        <f t="shared" si="39"/>
        <v>Dec</v>
      </c>
      <c r="G305" s="10" t="str">
        <f t="shared" si="40"/>
        <v>Q4</v>
      </c>
      <c r="H305" s="11">
        <f t="shared" ca="1" si="37"/>
        <v>15</v>
      </c>
      <c r="I305" t="str">
        <f t="shared" ca="1" si="41"/>
        <v>Senior</v>
      </c>
      <c r="J305">
        <v>7</v>
      </c>
      <c r="K305" s="11">
        <v>5</v>
      </c>
      <c r="L305" s="11" t="str">
        <f t="shared" si="42"/>
        <v>Excellent Performer</v>
      </c>
      <c r="M305" s="11">
        <v>31</v>
      </c>
      <c r="N305" s="11" t="str">
        <f t="shared" si="43"/>
        <v>Emerging Professional</v>
      </c>
      <c r="O305" s="11">
        <f t="shared" si="44"/>
        <v>29</v>
      </c>
      <c r="P305" s="12">
        <v>4314126</v>
      </c>
      <c r="Q305" t="str">
        <f t="shared" si="45"/>
        <v>High</v>
      </c>
    </row>
    <row r="306" spans="1:17" ht="12.5" x14ac:dyDescent="0.25">
      <c r="A306" s="9" t="s">
        <v>323</v>
      </c>
      <c r="B306" s="9" t="s">
        <v>49</v>
      </c>
      <c r="C306" s="9" t="s">
        <v>50</v>
      </c>
      <c r="D306" s="10">
        <v>39126</v>
      </c>
      <c r="E306" s="10" t="str">
        <f t="shared" si="38"/>
        <v>2007</v>
      </c>
      <c r="F306" s="10" t="str">
        <f t="shared" si="39"/>
        <v>Feb</v>
      </c>
      <c r="G306" s="10" t="str">
        <f t="shared" si="40"/>
        <v>Q1</v>
      </c>
      <c r="H306" s="11">
        <f t="shared" ca="1" si="37"/>
        <v>18</v>
      </c>
      <c r="I306" t="str">
        <f t="shared" ca="1" si="41"/>
        <v>Senior</v>
      </c>
      <c r="J306">
        <v>5</v>
      </c>
      <c r="K306" s="11">
        <v>2</v>
      </c>
      <c r="L306" s="11" t="str">
        <f t="shared" si="42"/>
        <v>Fair Performer</v>
      </c>
      <c r="M306" s="11">
        <v>26</v>
      </c>
      <c r="N306" s="11" t="str">
        <f t="shared" si="43"/>
        <v>Emerging Professional</v>
      </c>
      <c r="O306" s="11">
        <f t="shared" si="44"/>
        <v>34</v>
      </c>
      <c r="P306" s="12">
        <v>5644732</v>
      </c>
      <c r="Q306" t="str">
        <f t="shared" si="45"/>
        <v>Very High</v>
      </c>
    </row>
    <row r="307" spans="1:17" ht="12.5" x14ac:dyDescent="0.25">
      <c r="A307" s="9" t="s">
        <v>324</v>
      </c>
      <c r="B307" s="9" t="s">
        <v>13</v>
      </c>
      <c r="C307" s="9" t="s">
        <v>14</v>
      </c>
      <c r="D307" s="10">
        <v>41460</v>
      </c>
      <c r="E307" s="10" t="str">
        <f t="shared" si="38"/>
        <v>2013</v>
      </c>
      <c r="F307" s="10" t="str">
        <f t="shared" si="39"/>
        <v>Jul</v>
      </c>
      <c r="G307" s="10" t="str">
        <f t="shared" si="40"/>
        <v>Q3</v>
      </c>
      <c r="H307" s="11">
        <f t="shared" ca="1" si="37"/>
        <v>12</v>
      </c>
      <c r="I307" t="str">
        <f t="shared" ca="1" si="41"/>
        <v>Senior</v>
      </c>
      <c r="J307">
        <v>7</v>
      </c>
      <c r="K307" s="11">
        <v>4</v>
      </c>
      <c r="L307" s="11" t="str">
        <f t="shared" si="42"/>
        <v>Good Performer</v>
      </c>
      <c r="M307" s="11">
        <v>37</v>
      </c>
      <c r="N307" s="11" t="str">
        <f t="shared" si="43"/>
        <v>Established Professional</v>
      </c>
      <c r="O307" s="11">
        <f t="shared" si="44"/>
        <v>23</v>
      </c>
      <c r="P307" s="12">
        <v>4735624</v>
      </c>
      <c r="Q307" t="str">
        <f t="shared" si="45"/>
        <v>Very High</v>
      </c>
    </row>
    <row r="308" spans="1:17" ht="12.5" x14ac:dyDescent="0.25">
      <c r="A308" s="9" t="s">
        <v>325</v>
      </c>
      <c r="B308" s="9" t="s">
        <v>10</v>
      </c>
      <c r="C308" s="9" t="s">
        <v>11</v>
      </c>
      <c r="D308" s="10">
        <v>43077</v>
      </c>
      <c r="E308" s="10" t="str">
        <f t="shared" si="38"/>
        <v>2017</v>
      </c>
      <c r="F308" s="10" t="str">
        <f t="shared" si="39"/>
        <v>Dec</v>
      </c>
      <c r="G308" s="10" t="str">
        <f t="shared" si="40"/>
        <v>Q4</v>
      </c>
      <c r="H308" s="11">
        <f t="shared" ca="1" si="37"/>
        <v>8</v>
      </c>
      <c r="I308" t="str">
        <f t="shared" ca="1" si="41"/>
        <v>Established</v>
      </c>
      <c r="J308">
        <v>4</v>
      </c>
      <c r="K308" s="11">
        <v>3</v>
      </c>
      <c r="L308" s="11" t="str">
        <f t="shared" si="42"/>
        <v>Average Performer</v>
      </c>
      <c r="M308" s="11">
        <v>50</v>
      </c>
      <c r="N308" s="11" t="str">
        <f t="shared" si="43"/>
        <v>Senior Professional</v>
      </c>
      <c r="O308" s="11">
        <f t="shared" si="44"/>
        <v>10</v>
      </c>
      <c r="P308" s="12">
        <v>2377663</v>
      </c>
      <c r="Q308" t="str">
        <f t="shared" si="45"/>
        <v>Medium</v>
      </c>
    </row>
    <row r="309" spans="1:17" ht="12.5" x14ac:dyDescent="0.25">
      <c r="A309" s="9" t="s">
        <v>326</v>
      </c>
      <c r="B309" s="9" t="s">
        <v>36</v>
      </c>
      <c r="C309" s="9" t="s">
        <v>37</v>
      </c>
      <c r="D309" s="10">
        <v>40733</v>
      </c>
      <c r="E309" s="10" t="str">
        <f t="shared" si="38"/>
        <v>2011</v>
      </c>
      <c r="F309" s="10" t="str">
        <f t="shared" si="39"/>
        <v>Jul</v>
      </c>
      <c r="G309" s="10" t="str">
        <f t="shared" si="40"/>
        <v>Q3</v>
      </c>
      <c r="H309" s="11">
        <f t="shared" ca="1" si="37"/>
        <v>14</v>
      </c>
      <c r="I309" t="str">
        <f t="shared" ca="1" si="41"/>
        <v>Senior</v>
      </c>
      <c r="J309">
        <v>4</v>
      </c>
      <c r="K309" s="11">
        <v>3</v>
      </c>
      <c r="L309" s="11" t="str">
        <f t="shared" si="42"/>
        <v>Average Performer</v>
      </c>
      <c r="M309" s="11">
        <v>40</v>
      </c>
      <c r="N309" s="11" t="str">
        <f t="shared" si="43"/>
        <v>Established Professional</v>
      </c>
      <c r="O309" s="11">
        <f t="shared" si="44"/>
        <v>20</v>
      </c>
      <c r="P309" s="12">
        <v>4073107</v>
      </c>
      <c r="Q309" t="str">
        <f t="shared" si="45"/>
        <v>High</v>
      </c>
    </row>
    <row r="310" spans="1:17" ht="12.5" x14ac:dyDescent="0.25">
      <c r="A310" s="9" t="s">
        <v>327</v>
      </c>
      <c r="B310" s="9" t="s">
        <v>36</v>
      </c>
      <c r="C310" s="9" t="s">
        <v>37</v>
      </c>
      <c r="D310" s="10">
        <v>39588</v>
      </c>
      <c r="E310" s="10" t="str">
        <f t="shared" si="38"/>
        <v>2008</v>
      </c>
      <c r="F310" s="10" t="str">
        <f t="shared" si="39"/>
        <v>May</v>
      </c>
      <c r="G310" s="10" t="str">
        <f t="shared" si="40"/>
        <v>Q2</v>
      </c>
      <c r="H310" s="11">
        <f t="shared" ca="1" si="37"/>
        <v>17</v>
      </c>
      <c r="I310" t="str">
        <f t="shared" ca="1" si="41"/>
        <v>Senior</v>
      </c>
      <c r="J310">
        <v>1</v>
      </c>
      <c r="K310" s="11">
        <v>1</v>
      </c>
      <c r="L310" s="11" t="str">
        <f t="shared" si="42"/>
        <v>Poor Performer</v>
      </c>
      <c r="M310" s="11">
        <v>44</v>
      </c>
      <c r="N310" s="11" t="str">
        <f t="shared" si="43"/>
        <v>Established Professional</v>
      </c>
      <c r="O310" s="11">
        <f t="shared" si="44"/>
        <v>16</v>
      </c>
      <c r="P310" s="12">
        <v>5455666</v>
      </c>
      <c r="Q310" t="str">
        <f t="shared" si="45"/>
        <v>Very High</v>
      </c>
    </row>
    <row r="311" spans="1:17" ht="12.5" x14ac:dyDescent="0.25">
      <c r="A311" s="9" t="s">
        <v>328</v>
      </c>
      <c r="B311" s="9" t="s">
        <v>36</v>
      </c>
      <c r="C311" s="9" t="s">
        <v>37</v>
      </c>
      <c r="D311" s="10">
        <v>44590</v>
      </c>
      <c r="E311" s="10" t="str">
        <f t="shared" si="38"/>
        <v>2022</v>
      </c>
      <c r="F311" s="10" t="str">
        <f t="shared" si="39"/>
        <v>Jan</v>
      </c>
      <c r="G311" s="10" t="str">
        <f t="shared" si="40"/>
        <v>Q1</v>
      </c>
      <c r="H311" s="11">
        <f t="shared" ca="1" si="37"/>
        <v>3</v>
      </c>
      <c r="I311" t="str">
        <f t="shared" ca="1" si="41"/>
        <v>Junior</v>
      </c>
      <c r="J311">
        <v>7</v>
      </c>
      <c r="K311" s="11">
        <v>1</v>
      </c>
      <c r="L311" s="11" t="str">
        <f t="shared" si="42"/>
        <v>Poor Performer</v>
      </c>
      <c r="M311" s="11">
        <v>53</v>
      </c>
      <c r="N311" s="11" t="str">
        <f t="shared" si="43"/>
        <v>Senior Professional</v>
      </c>
      <c r="O311" s="11">
        <f t="shared" si="44"/>
        <v>7</v>
      </c>
      <c r="P311" s="12">
        <v>3779117</v>
      </c>
      <c r="Q311" t="str">
        <f t="shared" si="45"/>
        <v>High</v>
      </c>
    </row>
    <row r="312" spans="1:17" ht="12.5" x14ac:dyDescent="0.25">
      <c r="A312" s="9" t="s">
        <v>329</v>
      </c>
      <c r="B312" s="9" t="s">
        <v>7</v>
      </c>
      <c r="C312" s="9" t="s">
        <v>8</v>
      </c>
      <c r="D312" s="10">
        <v>42566</v>
      </c>
      <c r="E312" s="10" t="str">
        <f t="shared" si="38"/>
        <v>2016</v>
      </c>
      <c r="F312" s="10" t="str">
        <f t="shared" si="39"/>
        <v>Jul</v>
      </c>
      <c r="G312" s="10" t="str">
        <f t="shared" si="40"/>
        <v>Q3</v>
      </c>
      <c r="H312" s="11">
        <f t="shared" ca="1" si="37"/>
        <v>9</v>
      </c>
      <c r="I312" t="str">
        <f t="shared" ca="1" si="41"/>
        <v>Established</v>
      </c>
      <c r="J312">
        <v>7</v>
      </c>
      <c r="K312" s="11">
        <v>5</v>
      </c>
      <c r="L312" s="11" t="str">
        <f t="shared" si="42"/>
        <v>Excellent Performer</v>
      </c>
      <c r="M312" s="11">
        <v>54</v>
      </c>
      <c r="N312" s="11" t="str">
        <f t="shared" si="43"/>
        <v>Senior Professional</v>
      </c>
      <c r="O312" s="11">
        <f t="shared" si="44"/>
        <v>6</v>
      </c>
      <c r="P312" s="12">
        <v>2867692</v>
      </c>
      <c r="Q312" t="str">
        <f t="shared" si="45"/>
        <v>Medium</v>
      </c>
    </row>
    <row r="313" spans="1:17" ht="12.5" x14ac:dyDescent="0.25">
      <c r="A313" s="9" t="s">
        <v>330</v>
      </c>
      <c r="B313" s="9" t="s">
        <v>36</v>
      </c>
      <c r="C313" s="9" t="s">
        <v>37</v>
      </c>
      <c r="D313" s="10">
        <v>42146</v>
      </c>
      <c r="E313" s="10" t="str">
        <f t="shared" si="38"/>
        <v>2015</v>
      </c>
      <c r="F313" s="10" t="str">
        <f t="shared" si="39"/>
        <v>May</v>
      </c>
      <c r="G313" s="10" t="str">
        <f t="shared" si="40"/>
        <v>Q2</v>
      </c>
      <c r="H313" s="11">
        <f t="shared" ca="1" si="37"/>
        <v>10</v>
      </c>
      <c r="I313" t="str">
        <f t="shared" ca="1" si="41"/>
        <v>Senior</v>
      </c>
      <c r="J313">
        <v>7</v>
      </c>
      <c r="K313" s="11">
        <v>2</v>
      </c>
      <c r="L313" s="11" t="str">
        <f t="shared" si="42"/>
        <v>Fair Performer</v>
      </c>
      <c r="M313" s="11">
        <v>27</v>
      </c>
      <c r="N313" s="11" t="str">
        <f t="shared" si="43"/>
        <v>Emerging Professional</v>
      </c>
      <c r="O313" s="11">
        <f t="shared" si="44"/>
        <v>33</v>
      </c>
      <c r="P313" s="12">
        <v>2568642</v>
      </c>
      <c r="Q313" t="str">
        <f t="shared" si="45"/>
        <v>Medium</v>
      </c>
    </row>
    <row r="314" spans="1:17" ht="12.5" x14ac:dyDescent="0.25">
      <c r="A314" s="9" t="s">
        <v>331</v>
      </c>
      <c r="B314" s="9" t="s">
        <v>4</v>
      </c>
      <c r="C314" s="9" t="s">
        <v>5</v>
      </c>
      <c r="D314" s="10">
        <v>42626</v>
      </c>
      <c r="E314" s="10" t="str">
        <f t="shared" si="38"/>
        <v>2016</v>
      </c>
      <c r="F314" s="10" t="str">
        <f t="shared" si="39"/>
        <v>Sep</v>
      </c>
      <c r="G314" s="10" t="str">
        <f t="shared" si="40"/>
        <v>Q3</v>
      </c>
      <c r="H314" s="11">
        <f t="shared" ca="1" si="37"/>
        <v>9</v>
      </c>
      <c r="I314" t="str">
        <f t="shared" ca="1" si="41"/>
        <v>Established</v>
      </c>
      <c r="J314">
        <v>4</v>
      </c>
      <c r="K314" s="11">
        <v>3</v>
      </c>
      <c r="L314" s="11" t="str">
        <f t="shared" si="42"/>
        <v>Average Performer</v>
      </c>
      <c r="M314" s="11">
        <v>55</v>
      </c>
      <c r="N314" s="11" t="str">
        <f t="shared" si="43"/>
        <v>Senior Professional</v>
      </c>
      <c r="O314" s="11">
        <f t="shared" si="44"/>
        <v>5</v>
      </c>
      <c r="P314" s="12">
        <v>2815947</v>
      </c>
      <c r="Q314" t="str">
        <f t="shared" si="45"/>
        <v>Medium</v>
      </c>
    </row>
    <row r="315" spans="1:17" ht="12.5" x14ac:dyDescent="0.25">
      <c r="A315" s="9" t="s">
        <v>332</v>
      </c>
      <c r="B315" s="9" t="s">
        <v>49</v>
      </c>
      <c r="C315" s="9" t="s">
        <v>50</v>
      </c>
      <c r="D315" s="10">
        <v>39789</v>
      </c>
      <c r="E315" s="10" t="str">
        <f t="shared" si="38"/>
        <v>2008</v>
      </c>
      <c r="F315" s="10" t="str">
        <f t="shared" si="39"/>
        <v>Dec</v>
      </c>
      <c r="G315" s="10" t="str">
        <f t="shared" si="40"/>
        <v>Q4</v>
      </c>
      <c r="H315" s="11">
        <f t="shared" ca="1" si="37"/>
        <v>17</v>
      </c>
      <c r="I315" t="str">
        <f t="shared" ca="1" si="41"/>
        <v>Senior</v>
      </c>
      <c r="J315">
        <v>6</v>
      </c>
      <c r="K315" s="11">
        <v>3</v>
      </c>
      <c r="L315" s="11" t="str">
        <f t="shared" si="42"/>
        <v>Average Performer</v>
      </c>
      <c r="M315" s="11">
        <v>49</v>
      </c>
      <c r="N315" s="11" t="str">
        <f t="shared" si="43"/>
        <v>Senior Professional</v>
      </c>
      <c r="O315" s="11">
        <f t="shared" si="44"/>
        <v>11</v>
      </c>
      <c r="P315" s="12">
        <v>5182489</v>
      </c>
      <c r="Q315" t="str">
        <f t="shared" si="45"/>
        <v>Very High</v>
      </c>
    </row>
    <row r="316" spans="1:17" ht="12.5" x14ac:dyDescent="0.25">
      <c r="A316" s="9" t="s">
        <v>333</v>
      </c>
      <c r="B316" s="9" t="s">
        <v>10</v>
      </c>
      <c r="C316" s="9" t="s">
        <v>11</v>
      </c>
      <c r="D316" s="10">
        <v>45014</v>
      </c>
      <c r="E316" s="10" t="str">
        <f t="shared" si="38"/>
        <v>2023</v>
      </c>
      <c r="F316" s="10" t="str">
        <f t="shared" si="39"/>
        <v>Mar</v>
      </c>
      <c r="G316" s="10" t="str">
        <f t="shared" si="40"/>
        <v>Q1</v>
      </c>
      <c r="H316" s="11">
        <f t="shared" ca="1" si="37"/>
        <v>2</v>
      </c>
      <c r="I316" t="str">
        <f t="shared" ca="1" si="41"/>
        <v>Junior</v>
      </c>
      <c r="J316">
        <v>6</v>
      </c>
      <c r="K316" s="11">
        <v>4</v>
      </c>
      <c r="L316" s="11" t="str">
        <f t="shared" si="42"/>
        <v>Good Performer</v>
      </c>
      <c r="M316" s="11">
        <v>25</v>
      </c>
      <c r="N316" s="11" t="str">
        <f t="shared" si="43"/>
        <v>Emerging Professional</v>
      </c>
      <c r="O316" s="11">
        <f t="shared" si="44"/>
        <v>35</v>
      </c>
      <c r="P316" s="12">
        <v>4464791</v>
      </c>
      <c r="Q316" t="str">
        <f t="shared" si="45"/>
        <v>Very High</v>
      </c>
    </row>
    <row r="317" spans="1:17" ht="12.5" x14ac:dyDescent="0.25">
      <c r="A317" s="9" t="s">
        <v>334</v>
      </c>
      <c r="B317" s="9" t="s">
        <v>16</v>
      </c>
      <c r="C317" s="9" t="s">
        <v>17</v>
      </c>
      <c r="D317" s="10">
        <v>43844</v>
      </c>
      <c r="E317" s="10" t="str">
        <f t="shared" si="38"/>
        <v>2020</v>
      </c>
      <c r="F317" s="10" t="str">
        <f t="shared" si="39"/>
        <v>Jan</v>
      </c>
      <c r="G317" s="10" t="str">
        <f t="shared" si="40"/>
        <v>Q1</v>
      </c>
      <c r="H317" s="11">
        <f t="shared" ca="1" si="37"/>
        <v>5</v>
      </c>
      <c r="I317" t="str">
        <f t="shared" ca="1" si="41"/>
        <v>Established</v>
      </c>
      <c r="J317">
        <v>5</v>
      </c>
      <c r="K317" s="11">
        <v>4</v>
      </c>
      <c r="L317" s="11" t="str">
        <f t="shared" si="42"/>
        <v>Good Performer</v>
      </c>
      <c r="M317" s="11">
        <v>23</v>
      </c>
      <c r="N317" s="11" t="str">
        <f t="shared" si="43"/>
        <v>Young Talent</v>
      </c>
      <c r="O317" s="11">
        <f t="shared" si="44"/>
        <v>37</v>
      </c>
      <c r="P317" s="12">
        <v>4335294</v>
      </c>
      <c r="Q317" t="str">
        <f t="shared" si="45"/>
        <v>Very High</v>
      </c>
    </row>
    <row r="318" spans="1:17" ht="12.5" x14ac:dyDescent="0.25">
      <c r="A318" s="9" t="s">
        <v>335</v>
      </c>
      <c r="B318" s="9" t="s">
        <v>13</v>
      </c>
      <c r="C318" s="9" t="s">
        <v>14</v>
      </c>
      <c r="D318" s="10">
        <v>43699</v>
      </c>
      <c r="E318" s="10" t="str">
        <f t="shared" si="38"/>
        <v>2019</v>
      </c>
      <c r="F318" s="10" t="str">
        <f t="shared" si="39"/>
        <v>Aug</v>
      </c>
      <c r="G318" s="10" t="str">
        <f t="shared" si="40"/>
        <v>Q3</v>
      </c>
      <c r="H318" s="11">
        <f t="shared" ca="1" si="37"/>
        <v>6</v>
      </c>
      <c r="I318" t="str">
        <f t="shared" ca="1" si="41"/>
        <v>Established</v>
      </c>
      <c r="J318">
        <v>5</v>
      </c>
      <c r="K318" s="11">
        <v>1</v>
      </c>
      <c r="L318" s="11" t="str">
        <f t="shared" si="42"/>
        <v>Poor Performer</v>
      </c>
      <c r="M318" s="11">
        <v>30</v>
      </c>
      <c r="N318" s="11" t="str">
        <f t="shared" si="43"/>
        <v>Emerging Professional</v>
      </c>
      <c r="O318" s="11">
        <f t="shared" si="44"/>
        <v>30</v>
      </c>
      <c r="P318" s="12">
        <v>3315832</v>
      </c>
      <c r="Q318" t="str">
        <f t="shared" si="45"/>
        <v>High</v>
      </c>
    </row>
    <row r="319" spans="1:17" ht="12.5" x14ac:dyDescent="0.25">
      <c r="A319" s="9" t="s">
        <v>336</v>
      </c>
      <c r="B319" s="9" t="s">
        <v>16</v>
      </c>
      <c r="C319" s="9" t="s">
        <v>17</v>
      </c>
      <c r="D319" s="10">
        <v>40367</v>
      </c>
      <c r="E319" s="10" t="str">
        <f t="shared" si="38"/>
        <v>2010</v>
      </c>
      <c r="F319" s="10" t="str">
        <f t="shared" si="39"/>
        <v>Jul</v>
      </c>
      <c r="G319" s="10" t="str">
        <f t="shared" si="40"/>
        <v>Q3</v>
      </c>
      <c r="H319" s="11">
        <f t="shared" ca="1" si="37"/>
        <v>15</v>
      </c>
      <c r="I319" t="str">
        <f t="shared" ca="1" si="41"/>
        <v>Senior</v>
      </c>
      <c r="J319">
        <v>6</v>
      </c>
      <c r="K319" s="11">
        <v>4</v>
      </c>
      <c r="L319" s="11" t="str">
        <f t="shared" si="42"/>
        <v>Good Performer</v>
      </c>
      <c r="M319" s="11">
        <v>28</v>
      </c>
      <c r="N319" s="11" t="str">
        <f t="shared" si="43"/>
        <v>Emerging Professional</v>
      </c>
      <c r="O319" s="11">
        <f t="shared" si="44"/>
        <v>32</v>
      </c>
      <c r="P319" s="12">
        <v>3476279</v>
      </c>
      <c r="Q319" t="str">
        <f t="shared" si="45"/>
        <v>High</v>
      </c>
    </row>
    <row r="320" spans="1:17" ht="12.5" x14ac:dyDescent="0.25">
      <c r="A320" s="9" t="s">
        <v>337</v>
      </c>
      <c r="B320" s="9" t="s">
        <v>20</v>
      </c>
      <c r="C320" s="9" t="s">
        <v>21</v>
      </c>
      <c r="D320" s="10">
        <v>40367</v>
      </c>
      <c r="E320" s="10" t="str">
        <f t="shared" si="38"/>
        <v>2010</v>
      </c>
      <c r="F320" s="10" t="str">
        <f t="shared" si="39"/>
        <v>Jul</v>
      </c>
      <c r="G320" s="10" t="str">
        <f t="shared" si="40"/>
        <v>Q3</v>
      </c>
      <c r="H320" s="11">
        <f t="shared" ca="1" si="37"/>
        <v>15</v>
      </c>
      <c r="I320" t="str">
        <f t="shared" ca="1" si="41"/>
        <v>Senior</v>
      </c>
      <c r="J320">
        <v>1</v>
      </c>
      <c r="K320" s="11">
        <v>4</v>
      </c>
      <c r="L320" s="11" t="str">
        <f t="shared" si="42"/>
        <v>Good Performer</v>
      </c>
      <c r="M320" s="11">
        <v>34</v>
      </c>
      <c r="N320" s="11" t="str">
        <f t="shared" si="43"/>
        <v>Emerging Professional</v>
      </c>
      <c r="O320" s="11">
        <f t="shared" si="44"/>
        <v>26</v>
      </c>
      <c r="P320" s="12">
        <v>2451359</v>
      </c>
      <c r="Q320" t="str">
        <f t="shared" si="45"/>
        <v>Medium</v>
      </c>
    </row>
    <row r="321" spans="1:17" ht="12.5" x14ac:dyDescent="0.25">
      <c r="A321" s="9" t="s">
        <v>338</v>
      </c>
      <c r="B321" s="9" t="s">
        <v>7</v>
      </c>
      <c r="C321" s="9" t="s">
        <v>8</v>
      </c>
      <c r="D321" s="10">
        <v>42429</v>
      </c>
      <c r="E321" s="10" t="str">
        <f t="shared" si="38"/>
        <v>2016</v>
      </c>
      <c r="F321" s="10" t="str">
        <f t="shared" si="39"/>
        <v>Feb</v>
      </c>
      <c r="G321" s="10" t="str">
        <f t="shared" si="40"/>
        <v>Q1</v>
      </c>
      <c r="H321" s="11">
        <f t="shared" ca="1" si="37"/>
        <v>9</v>
      </c>
      <c r="I321" t="str">
        <f t="shared" ca="1" si="41"/>
        <v>Established</v>
      </c>
      <c r="J321">
        <v>4</v>
      </c>
      <c r="K321" s="11">
        <v>1</v>
      </c>
      <c r="L321" s="11" t="str">
        <f t="shared" si="42"/>
        <v>Poor Performer</v>
      </c>
      <c r="M321" s="11">
        <v>31</v>
      </c>
      <c r="N321" s="11" t="str">
        <f t="shared" si="43"/>
        <v>Emerging Professional</v>
      </c>
      <c r="O321" s="11">
        <f t="shared" si="44"/>
        <v>29</v>
      </c>
      <c r="P321" s="12">
        <v>4645623</v>
      </c>
      <c r="Q321" t="str">
        <f t="shared" si="45"/>
        <v>Very High</v>
      </c>
    </row>
    <row r="322" spans="1:17" ht="12.5" x14ac:dyDescent="0.25">
      <c r="A322" s="9" t="s">
        <v>339</v>
      </c>
      <c r="B322" s="9" t="s">
        <v>7</v>
      </c>
      <c r="C322" s="9" t="s">
        <v>8</v>
      </c>
      <c r="D322" s="10">
        <v>39440</v>
      </c>
      <c r="E322" s="10" t="str">
        <f t="shared" si="38"/>
        <v>2007</v>
      </c>
      <c r="F322" s="10" t="str">
        <f t="shared" si="39"/>
        <v>Dec</v>
      </c>
      <c r="G322" s="10" t="str">
        <f t="shared" si="40"/>
        <v>Q4</v>
      </c>
      <c r="H322" s="11">
        <f t="shared" ref="H322:H373" ca="1" si="46">TEXT(TODAY(), "YYYY")-TEXT(D322, "YYYY")</f>
        <v>18</v>
      </c>
      <c r="I322" t="str">
        <f t="shared" ca="1" si="41"/>
        <v>Senior</v>
      </c>
      <c r="J322">
        <v>2</v>
      </c>
      <c r="K322" s="11">
        <v>3</v>
      </c>
      <c r="L322" s="11" t="str">
        <f t="shared" si="42"/>
        <v>Average Performer</v>
      </c>
      <c r="M322" s="11">
        <v>28</v>
      </c>
      <c r="N322" s="11" t="str">
        <f t="shared" si="43"/>
        <v>Emerging Professional</v>
      </c>
      <c r="O322" s="11">
        <f t="shared" si="44"/>
        <v>32</v>
      </c>
      <c r="P322" s="12">
        <v>3718924</v>
      </c>
      <c r="Q322" t="str">
        <f t="shared" si="45"/>
        <v>High</v>
      </c>
    </row>
    <row r="323" spans="1:17" ht="12.5" x14ac:dyDescent="0.25">
      <c r="A323" s="9" t="s">
        <v>340</v>
      </c>
      <c r="B323" s="9" t="s">
        <v>13</v>
      </c>
      <c r="C323" s="9" t="s">
        <v>14</v>
      </c>
      <c r="D323" s="10">
        <v>40276</v>
      </c>
      <c r="E323" s="10" t="str">
        <f t="shared" ref="E323:E373" si="47">TEXT(D323, "YYYY")</f>
        <v>2010</v>
      </c>
      <c r="F323" s="10" t="str">
        <f t="shared" ref="F323:F373" si="48">TEXT(D323, "MMM")</f>
        <v>Apr</v>
      </c>
      <c r="G323" s="10" t="str">
        <f t="shared" ref="G323:G373" si="49">"Q" &amp; ROUNDUP(MONTH(D323)/3,0)</f>
        <v>Q2</v>
      </c>
      <c r="H323" s="11">
        <f t="shared" ca="1" si="46"/>
        <v>15</v>
      </c>
      <c r="I323" t="str">
        <f t="shared" ref="I323:I373" ca="1" si="50">IF(AND(H323&gt;=0, H323&lt;2), "Fresher", IF(AND(H323&gt;=2, H323&lt;5), "Junior", IF(AND(H323&gt;=5, H323&lt;10), "Established", "Senior")))</f>
        <v>Senior</v>
      </c>
      <c r="J323">
        <v>7</v>
      </c>
      <c r="K323" s="11">
        <v>5</v>
      </c>
      <c r="L323" s="11" t="str">
        <f t="shared" ref="L323:L373" si="51">IF(K323=1, "Poor Performer", IF(K323=2, "Fair Performer", IF(K323=3, "Average Performer", IF(K323=4, "Good Performer", "Excellent Performer"))))</f>
        <v>Excellent Performer</v>
      </c>
      <c r="M323" s="11">
        <v>23</v>
      </c>
      <c r="N323" s="11" t="str">
        <f t="shared" ref="N323:N373" si="52">IF(AND(M323&lt;25), "Young Talent", IF(AND(M323&gt;=25, M323&lt;35), "Emerging Professional", IF(AND(M323&gt;=35, M323&lt;45), "Established Professional", "Senior Professional")))</f>
        <v>Young Talent</v>
      </c>
      <c r="O323" s="11">
        <f t="shared" ref="O323:O373" si="53">60-M323</f>
        <v>37</v>
      </c>
      <c r="P323" s="12">
        <v>779431</v>
      </c>
      <c r="Q323" t="str">
        <f t="shared" si="45"/>
        <v>Low</v>
      </c>
    </row>
    <row r="324" spans="1:17" ht="12.5" x14ac:dyDescent="0.25">
      <c r="A324" s="9" t="s">
        <v>341</v>
      </c>
      <c r="B324" s="9" t="s">
        <v>36</v>
      </c>
      <c r="C324" s="9" t="s">
        <v>37</v>
      </c>
      <c r="D324" s="10">
        <v>40070</v>
      </c>
      <c r="E324" s="10" t="str">
        <f t="shared" si="47"/>
        <v>2009</v>
      </c>
      <c r="F324" s="10" t="str">
        <f t="shared" si="48"/>
        <v>Sep</v>
      </c>
      <c r="G324" s="10" t="str">
        <f t="shared" si="49"/>
        <v>Q3</v>
      </c>
      <c r="H324" s="11">
        <f t="shared" ca="1" si="46"/>
        <v>16</v>
      </c>
      <c r="I324" t="str">
        <f t="shared" ca="1" si="50"/>
        <v>Senior</v>
      </c>
      <c r="J324">
        <v>6</v>
      </c>
      <c r="K324" s="11">
        <v>5</v>
      </c>
      <c r="L324" s="11" t="str">
        <f t="shared" si="51"/>
        <v>Excellent Performer</v>
      </c>
      <c r="M324" s="11">
        <v>23</v>
      </c>
      <c r="N324" s="11" t="str">
        <f t="shared" si="52"/>
        <v>Young Talent</v>
      </c>
      <c r="O324" s="11">
        <f t="shared" si="53"/>
        <v>37</v>
      </c>
      <c r="P324" s="12">
        <v>2292739</v>
      </c>
      <c r="Q324" t="str">
        <f t="shared" si="45"/>
        <v>Medium</v>
      </c>
    </row>
    <row r="325" spans="1:17" ht="12.5" x14ac:dyDescent="0.25">
      <c r="A325" s="9" t="s">
        <v>342</v>
      </c>
      <c r="B325" s="9" t="s">
        <v>4</v>
      </c>
      <c r="C325" s="9" t="s">
        <v>5</v>
      </c>
      <c r="D325" s="10">
        <v>44407</v>
      </c>
      <c r="E325" s="10" t="str">
        <f t="shared" si="47"/>
        <v>2021</v>
      </c>
      <c r="F325" s="10" t="str">
        <f t="shared" si="48"/>
        <v>Jul</v>
      </c>
      <c r="G325" s="10" t="str">
        <f t="shared" si="49"/>
        <v>Q3</v>
      </c>
      <c r="H325" s="11">
        <f t="shared" ca="1" si="46"/>
        <v>4</v>
      </c>
      <c r="I325" t="str">
        <f t="shared" ca="1" si="50"/>
        <v>Junior</v>
      </c>
      <c r="J325">
        <v>3</v>
      </c>
      <c r="K325" s="11">
        <v>5</v>
      </c>
      <c r="L325" s="11" t="str">
        <f t="shared" si="51"/>
        <v>Excellent Performer</v>
      </c>
      <c r="M325" s="11">
        <v>37</v>
      </c>
      <c r="N325" s="11" t="str">
        <f t="shared" si="52"/>
        <v>Established Professional</v>
      </c>
      <c r="O325" s="11">
        <f t="shared" si="53"/>
        <v>23</v>
      </c>
      <c r="P325" s="12">
        <v>3282340</v>
      </c>
      <c r="Q325" t="str">
        <f t="shared" si="45"/>
        <v>High</v>
      </c>
    </row>
    <row r="326" spans="1:17" ht="12.5" x14ac:dyDescent="0.25">
      <c r="A326" s="9" t="s">
        <v>343</v>
      </c>
      <c r="B326" s="9" t="s">
        <v>13</v>
      </c>
      <c r="C326" s="9" t="s">
        <v>14</v>
      </c>
      <c r="D326" s="10">
        <v>44330</v>
      </c>
      <c r="E326" s="10" t="str">
        <f t="shared" si="47"/>
        <v>2021</v>
      </c>
      <c r="F326" s="10" t="str">
        <f t="shared" si="48"/>
        <v>May</v>
      </c>
      <c r="G326" s="10" t="str">
        <f t="shared" si="49"/>
        <v>Q2</v>
      </c>
      <c r="H326" s="11">
        <f t="shared" ca="1" si="46"/>
        <v>4</v>
      </c>
      <c r="I326" t="str">
        <f t="shared" ca="1" si="50"/>
        <v>Junior</v>
      </c>
      <c r="J326">
        <v>2</v>
      </c>
      <c r="K326" s="11">
        <v>3</v>
      </c>
      <c r="L326" s="11" t="str">
        <f t="shared" si="51"/>
        <v>Average Performer</v>
      </c>
      <c r="M326" s="11">
        <v>26</v>
      </c>
      <c r="N326" s="11" t="str">
        <f t="shared" si="52"/>
        <v>Emerging Professional</v>
      </c>
      <c r="O326" s="11">
        <f t="shared" si="53"/>
        <v>34</v>
      </c>
      <c r="P326" s="12">
        <v>1021206</v>
      </c>
      <c r="Q326" t="str">
        <f t="shared" si="45"/>
        <v>Low</v>
      </c>
    </row>
    <row r="327" spans="1:17" ht="12.5" x14ac:dyDescent="0.25">
      <c r="A327" s="9" t="s">
        <v>344</v>
      </c>
      <c r="B327" s="9" t="s">
        <v>49</v>
      </c>
      <c r="C327" s="9" t="s">
        <v>50</v>
      </c>
      <c r="D327" s="10">
        <v>42342</v>
      </c>
      <c r="E327" s="10" t="str">
        <f t="shared" si="47"/>
        <v>2015</v>
      </c>
      <c r="F327" s="10" t="str">
        <f t="shared" si="48"/>
        <v>Dec</v>
      </c>
      <c r="G327" s="10" t="str">
        <f t="shared" si="49"/>
        <v>Q4</v>
      </c>
      <c r="H327" s="11">
        <f t="shared" ca="1" si="46"/>
        <v>10</v>
      </c>
      <c r="I327" t="str">
        <f t="shared" ca="1" si="50"/>
        <v>Senior</v>
      </c>
      <c r="J327">
        <v>4</v>
      </c>
      <c r="K327" s="11">
        <v>1</v>
      </c>
      <c r="L327" s="11" t="str">
        <f t="shared" si="51"/>
        <v>Poor Performer</v>
      </c>
      <c r="M327" s="11">
        <v>19</v>
      </c>
      <c r="N327" s="11" t="str">
        <f t="shared" si="52"/>
        <v>Young Talent</v>
      </c>
      <c r="O327" s="11">
        <f t="shared" si="53"/>
        <v>41</v>
      </c>
      <c r="P327" s="12">
        <v>2074896</v>
      </c>
      <c r="Q327" t="str">
        <f t="shared" si="45"/>
        <v>Medium</v>
      </c>
    </row>
    <row r="328" spans="1:17" ht="12.5" x14ac:dyDescent="0.25">
      <c r="A328" s="9" t="s">
        <v>345</v>
      </c>
      <c r="B328" s="9" t="s">
        <v>13</v>
      </c>
      <c r="C328" s="9" t="s">
        <v>14</v>
      </c>
      <c r="D328" s="10">
        <v>43494</v>
      </c>
      <c r="E328" s="10" t="str">
        <f t="shared" si="47"/>
        <v>2019</v>
      </c>
      <c r="F328" s="10" t="str">
        <f t="shared" si="48"/>
        <v>Jan</v>
      </c>
      <c r="G328" s="10" t="str">
        <f t="shared" si="49"/>
        <v>Q1</v>
      </c>
      <c r="H328" s="11">
        <f t="shared" ca="1" si="46"/>
        <v>6</v>
      </c>
      <c r="I328" t="str">
        <f t="shared" ca="1" si="50"/>
        <v>Established</v>
      </c>
      <c r="J328">
        <v>7</v>
      </c>
      <c r="K328" s="11">
        <v>4</v>
      </c>
      <c r="L328" s="11" t="str">
        <f t="shared" si="51"/>
        <v>Good Performer</v>
      </c>
      <c r="M328" s="11">
        <v>26</v>
      </c>
      <c r="N328" s="11" t="str">
        <f t="shared" si="52"/>
        <v>Emerging Professional</v>
      </c>
      <c r="O328" s="11">
        <f t="shared" si="53"/>
        <v>34</v>
      </c>
      <c r="P328" s="12">
        <v>960413</v>
      </c>
      <c r="Q328" t="str">
        <f t="shared" si="45"/>
        <v>Low</v>
      </c>
    </row>
    <row r="329" spans="1:17" ht="12.5" x14ac:dyDescent="0.25">
      <c r="A329" s="9" t="s">
        <v>346</v>
      </c>
      <c r="B329" s="9" t="s">
        <v>49</v>
      </c>
      <c r="C329" s="9" t="s">
        <v>50</v>
      </c>
      <c r="D329" s="10">
        <v>41408</v>
      </c>
      <c r="E329" s="10" t="str">
        <f t="shared" si="47"/>
        <v>2013</v>
      </c>
      <c r="F329" s="10" t="str">
        <f t="shared" si="48"/>
        <v>May</v>
      </c>
      <c r="G329" s="10" t="str">
        <f t="shared" si="49"/>
        <v>Q2</v>
      </c>
      <c r="H329" s="11">
        <f t="shared" ca="1" si="46"/>
        <v>12</v>
      </c>
      <c r="I329" t="str">
        <f t="shared" ca="1" si="50"/>
        <v>Senior</v>
      </c>
      <c r="J329">
        <v>4</v>
      </c>
      <c r="K329" s="11">
        <v>5</v>
      </c>
      <c r="L329" s="11" t="str">
        <f t="shared" si="51"/>
        <v>Excellent Performer</v>
      </c>
      <c r="M329" s="11">
        <v>35</v>
      </c>
      <c r="N329" s="11" t="str">
        <f t="shared" si="52"/>
        <v>Established Professional</v>
      </c>
      <c r="O329" s="11">
        <f t="shared" si="53"/>
        <v>25</v>
      </c>
      <c r="P329" s="12">
        <v>5376476</v>
      </c>
      <c r="Q329" t="str">
        <f t="shared" si="45"/>
        <v>Very High</v>
      </c>
    </row>
    <row r="330" spans="1:17" ht="12.5" x14ac:dyDescent="0.25">
      <c r="A330" s="9" t="s">
        <v>347</v>
      </c>
      <c r="B330" s="9" t="s">
        <v>13</v>
      </c>
      <c r="C330" s="9" t="s">
        <v>14</v>
      </c>
      <c r="D330" s="10">
        <v>41135</v>
      </c>
      <c r="E330" s="10" t="str">
        <f t="shared" si="47"/>
        <v>2012</v>
      </c>
      <c r="F330" s="10" t="str">
        <f t="shared" si="48"/>
        <v>Aug</v>
      </c>
      <c r="G330" s="10" t="str">
        <f t="shared" si="49"/>
        <v>Q3</v>
      </c>
      <c r="H330" s="11">
        <f t="shared" ca="1" si="46"/>
        <v>13</v>
      </c>
      <c r="I330" t="str">
        <f t="shared" ca="1" si="50"/>
        <v>Senior</v>
      </c>
      <c r="J330">
        <v>5</v>
      </c>
      <c r="K330" s="11">
        <v>4</v>
      </c>
      <c r="L330" s="11" t="str">
        <f t="shared" si="51"/>
        <v>Good Performer</v>
      </c>
      <c r="M330" s="11">
        <v>30</v>
      </c>
      <c r="N330" s="11" t="str">
        <f t="shared" si="52"/>
        <v>Emerging Professional</v>
      </c>
      <c r="O330" s="11">
        <f t="shared" si="53"/>
        <v>30</v>
      </c>
      <c r="P330" s="12">
        <v>1392363</v>
      </c>
      <c r="Q330" t="str">
        <f t="shared" si="45"/>
        <v>Low</v>
      </c>
    </row>
    <row r="331" spans="1:17" ht="12.5" x14ac:dyDescent="0.25">
      <c r="A331" s="9" t="s">
        <v>348</v>
      </c>
      <c r="B331" s="9" t="s">
        <v>20</v>
      </c>
      <c r="C331" s="9" t="s">
        <v>21</v>
      </c>
      <c r="D331" s="10">
        <v>39201</v>
      </c>
      <c r="E331" s="10" t="str">
        <f t="shared" si="47"/>
        <v>2007</v>
      </c>
      <c r="F331" s="10" t="str">
        <f t="shared" si="48"/>
        <v>Apr</v>
      </c>
      <c r="G331" s="10" t="str">
        <f t="shared" si="49"/>
        <v>Q2</v>
      </c>
      <c r="H331" s="11">
        <f t="shared" ca="1" si="46"/>
        <v>18</v>
      </c>
      <c r="I331" t="str">
        <f t="shared" ca="1" si="50"/>
        <v>Senior</v>
      </c>
      <c r="J331">
        <v>5</v>
      </c>
      <c r="K331" s="11">
        <v>1</v>
      </c>
      <c r="L331" s="11" t="str">
        <f t="shared" si="51"/>
        <v>Poor Performer</v>
      </c>
      <c r="M331" s="11">
        <v>52</v>
      </c>
      <c r="N331" s="11" t="str">
        <f t="shared" si="52"/>
        <v>Senior Professional</v>
      </c>
      <c r="O331" s="11">
        <f t="shared" si="53"/>
        <v>8</v>
      </c>
      <c r="P331" s="12">
        <v>5239397</v>
      </c>
      <c r="Q331" t="str">
        <f t="shared" ref="Q331:Q373" si="54">IF(P331&lt;= _xlfn.PERCENTILE.INC(P331:P702, 0.25), "Low", IF(P331&lt;= _xlfn.PERCENTILE.INC(P331:P702, 0.5),"Medium",IF(P331&lt;= _xlfn.PERCENTILE.INC(P331:P702, 0.75),"High","Very High")))</f>
        <v>Very High</v>
      </c>
    </row>
    <row r="332" spans="1:17" ht="12.5" x14ac:dyDescent="0.25">
      <c r="A332" s="9" t="s">
        <v>349</v>
      </c>
      <c r="B332" s="9" t="s">
        <v>16</v>
      </c>
      <c r="C332" s="9" t="s">
        <v>17</v>
      </c>
      <c r="D332" s="10">
        <v>40389</v>
      </c>
      <c r="E332" s="10" t="str">
        <f t="shared" si="47"/>
        <v>2010</v>
      </c>
      <c r="F332" s="10" t="str">
        <f t="shared" si="48"/>
        <v>Jul</v>
      </c>
      <c r="G332" s="10" t="str">
        <f t="shared" si="49"/>
        <v>Q3</v>
      </c>
      <c r="H332" s="11">
        <f t="shared" ca="1" si="46"/>
        <v>15</v>
      </c>
      <c r="I332" t="str">
        <f t="shared" ca="1" si="50"/>
        <v>Senior</v>
      </c>
      <c r="J332">
        <v>3</v>
      </c>
      <c r="K332" s="11">
        <v>2</v>
      </c>
      <c r="L332" s="11" t="str">
        <f t="shared" si="51"/>
        <v>Fair Performer</v>
      </c>
      <c r="M332" s="11">
        <v>45</v>
      </c>
      <c r="N332" s="11" t="str">
        <f t="shared" si="52"/>
        <v>Senior Professional</v>
      </c>
      <c r="O332" s="11">
        <f t="shared" si="53"/>
        <v>15</v>
      </c>
      <c r="P332" s="12">
        <v>4605489</v>
      </c>
      <c r="Q332" t="str">
        <f t="shared" si="54"/>
        <v>Very High</v>
      </c>
    </row>
    <row r="333" spans="1:17" ht="12.5" x14ac:dyDescent="0.25">
      <c r="A333" s="9" t="s">
        <v>350</v>
      </c>
      <c r="B333" s="9" t="s">
        <v>4</v>
      </c>
      <c r="C333" s="9" t="s">
        <v>5</v>
      </c>
      <c r="D333" s="10">
        <v>40879</v>
      </c>
      <c r="E333" s="10" t="str">
        <f t="shared" si="47"/>
        <v>2011</v>
      </c>
      <c r="F333" s="10" t="str">
        <f t="shared" si="48"/>
        <v>Dec</v>
      </c>
      <c r="G333" s="10" t="str">
        <f t="shared" si="49"/>
        <v>Q4</v>
      </c>
      <c r="H333" s="11">
        <f t="shared" ca="1" si="46"/>
        <v>14</v>
      </c>
      <c r="I333" t="str">
        <f t="shared" ca="1" si="50"/>
        <v>Senior</v>
      </c>
      <c r="J333">
        <v>4</v>
      </c>
      <c r="K333" s="11">
        <v>5</v>
      </c>
      <c r="L333" s="11" t="str">
        <f t="shared" si="51"/>
        <v>Excellent Performer</v>
      </c>
      <c r="M333" s="11">
        <v>29</v>
      </c>
      <c r="N333" s="11" t="str">
        <f t="shared" si="52"/>
        <v>Emerging Professional</v>
      </c>
      <c r="O333" s="11">
        <f t="shared" si="53"/>
        <v>31</v>
      </c>
      <c r="P333" s="12">
        <v>3966393</v>
      </c>
      <c r="Q333" t="str">
        <f t="shared" si="54"/>
        <v>Very High</v>
      </c>
    </row>
    <row r="334" spans="1:17" ht="12.5" x14ac:dyDescent="0.25">
      <c r="A334" s="9" t="s">
        <v>351</v>
      </c>
      <c r="B334" s="9" t="s">
        <v>36</v>
      </c>
      <c r="C334" s="9" t="s">
        <v>37</v>
      </c>
      <c r="D334" s="10">
        <v>44683</v>
      </c>
      <c r="E334" s="10" t="str">
        <f t="shared" si="47"/>
        <v>2022</v>
      </c>
      <c r="F334" s="10" t="str">
        <f t="shared" si="48"/>
        <v>May</v>
      </c>
      <c r="G334" s="10" t="str">
        <f t="shared" si="49"/>
        <v>Q2</v>
      </c>
      <c r="H334" s="11">
        <f t="shared" ca="1" si="46"/>
        <v>3</v>
      </c>
      <c r="I334" t="str">
        <f t="shared" ca="1" si="50"/>
        <v>Junior</v>
      </c>
      <c r="J334">
        <v>4</v>
      </c>
      <c r="K334" s="11">
        <v>1</v>
      </c>
      <c r="L334" s="11" t="str">
        <f t="shared" si="51"/>
        <v>Poor Performer</v>
      </c>
      <c r="M334" s="11">
        <v>49</v>
      </c>
      <c r="N334" s="11" t="str">
        <f t="shared" si="52"/>
        <v>Senior Professional</v>
      </c>
      <c r="O334" s="11">
        <f t="shared" si="53"/>
        <v>11</v>
      </c>
      <c r="P334" s="12">
        <v>4278147</v>
      </c>
      <c r="Q334" t="str">
        <f t="shared" si="54"/>
        <v>Very High</v>
      </c>
    </row>
    <row r="335" spans="1:17" ht="12.5" x14ac:dyDescent="0.25">
      <c r="A335" s="9" t="s">
        <v>352</v>
      </c>
      <c r="B335" s="9" t="s">
        <v>13</v>
      </c>
      <c r="C335" s="9" t="s">
        <v>14</v>
      </c>
      <c r="D335" s="10">
        <v>40679</v>
      </c>
      <c r="E335" s="10" t="str">
        <f t="shared" si="47"/>
        <v>2011</v>
      </c>
      <c r="F335" s="10" t="str">
        <f t="shared" si="48"/>
        <v>May</v>
      </c>
      <c r="G335" s="10" t="str">
        <f t="shared" si="49"/>
        <v>Q2</v>
      </c>
      <c r="H335" s="11">
        <f t="shared" ca="1" si="46"/>
        <v>14</v>
      </c>
      <c r="I335" t="str">
        <f t="shared" ca="1" si="50"/>
        <v>Senior</v>
      </c>
      <c r="J335">
        <v>1</v>
      </c>
      <c r="K335" s="11">
        <v>2</v>
      </c>
      <c r="L335" s="11" t="str">
        <f t="shared" si="51"/>
        <v>Fair Performer</v>
      </c>
      <c r="M335" s="11">
        <v>27</v>
      </c>
      <c r="N335" s="11" t="str">
        <f t="shared" si="52"/>
        <v>Emerging Professional</v>
      </c>
      <c r="O335" s="11">
        <f t="shared" si="53"/>
        <v>33</v>
      </c>
      <c r="P335" s="12">
        <v>1134621</v>
      </c>
      <c r="Q335" t="str">
        <f t="shared" si="54"/>
        <v>Low</v>
      </c>
    </row>
    <row r="336" spans="1:17" ht="12.5" x14ac:dyDescent="0.25">
      <c r="A336" s="9" t="s">
        <v>353</v>
      </c>
      <c r="B336" s="9" t="s">
        <v>16</v>
      </c>
      <c r="C336" s="9" t="s">
        <v>17</v>
      </c>
      <c r="D336" s="10">
        <v>38932</v>
      </c>
      <c r="E336" s="10" t="str">
        <f t="shared" si="47"/>
        <v>2006</v>
      </c>
      <c r="F336" s="10" t="str">
        <f t="shared" si="48"/>
        <v>Aug</v>
      </c>
      <c r="G336" s="10" t="str">
        <f t="shared" si="49"/>
        <v>Q3</v>
      </c>
      <c r="H336" s="11">
        <f t="shared" ca="1" si="46"/>
        <v>19</v>
      </c>
      <c r="I336" t="str">
        <f t="shared" ca="1" si="50"/>
        <v>Senior</v>
      </c>
      <c r="J336">
        <v>3</v>
      </c>
      <c r="K336" s="11">
        <v>3</v>
      </c>
      <c r="L336" s="11" t="str">
        <f t="shared" si="51"/>
        <v>Average Performer</v>
      </c>
      <c r="M336" s="11">
        <v>55</v>
      </c>
      <c r="N336" s="11" t="str">
        <f t="shared" si="52"/>
        <v>Senior Professional</v>
      </c>
      <c r="O336" s="11">
        <f t="shared" si="53"/>
        <v>5</v>
      </c>
      <c r="P336" s="12">
        <v>3425636</v>
      </c>
      <c r="Q336" t="str">
        <f t="shared" si="54"/>
        <v>High</v>
      </c>
    </row>
    <row r="337" spans="1:17" ht="12.5" x14ac:dyDescent="0.25">
      <c r="A337" s="9" t="s">
        <v>354</v>
      </c>
      <c r="B337" s="9" t="s">
        <v>13</v>
      </c>
      <c r="C337" s="9" t="s">
        <v>14</v>
      </c>
      <c r="D337" s="10">
        <v>43332</v>
      </c>
      <c r="E337" s="10" t="str">
        <f t="shared" si="47"/>
        <v>2018</v>
      </c>
      <c r="F337" s="10" t="str">
        <f t="shared" si="48"/>
        <v>Aug</v>
      </c>
      <c r="G337" s="10" t="str">
        <f t="shared" si="49"/>
        <v>Q3</v>
      </c>
      <c r="H337" s="11">
        <f t="shared" ca="1" si="46"/>
        <v>7</v>
      </c>
      <c r="I337" t="str">
        <f t="shared" ca="1" si="50"/>
        <v>Established</v>
      </c>
      <c r="J337">
        <v>2</v>
      </c>
      <c r="K337" s="11">
        <v>4</v>
      </c>
      <c r="L337" s="11" t="str">
        <f t="shared" si="51"/>
        <v>Good Performer</v>
      </c>
      <c r="M337" s="11">
        <v>27</v>
      </c>
      <c r="N337" s="11" t="str">
        <f t="shared" si="52"/>
        <v>Emerging Professional</v>
      </c>
      <c r="O337" s="11">
        <f t="shared" si="53"/>
        <v>33</v>
      </c>
      <c r="P337" s="12">
        <v>1431856</v>
      </c>
      <c r="Q337" t="str">
        <f t="shared" si="54"/>
        <v>Low</v>
      </c>
    </row>
    <row r="338" spans="1:17" ht="12.5" x14ac:dyDescent="0.25">
      <c r="A338" s="9" t="s">
        <v>355</v>
      </c>
      <c r="B338" s="9" t="s">
        <v>20</v>
      </c>
      <c r="C338" s="9" t="s">
        <v>21</v>
      </c>
      <c r="D338" s="10">
        <v>45039</v>
      </c>
      <c r="E338" s="10" t="str">
        <f t="shared" si="47"/>
        <v>2023</v>
      </c>
      <c r="F338" s="10" t="str">
        <f t="shared" si="48"/>
        <v>Apr</v>
      </c>
      <c r="G338" s="10" t="str">
        <f t="shared" si="49"/>
        <v>Q2</v>
      </c>
      <c r="H338" s="11">
        <f t="shared" ca="1" si="46"/>
        <v>2</v>
      </c>
      <c r="I338" t="str">
        <f t="shared" ca="1" si="50"/>
        <v>Junior</v>
      </c>
      <c r="J338">
        <v>3</v>
      </c>
      <c r="K338" s="11">
        <v>3</v>
      </c>
      <c r="L338" s="11" t="str">
        <f t="shared" si="51"/>
        <v>Average Performer</v>
      </c>
      <c r="M338" s="11">
        <v>23</v>
      </c>
      <c r="N338" s="11" t="str">
        <f t="shared" si="52"/>
        <v>Young Talent</v>
      </c>
      <c r="O338" s="11">
        <f t="shared" si="53"/>
        <v>37</v>
      </c>
      <c r="P338" s="12">
        <v>2594757</v>
      </c>
      <c r="Q338" t="str">
        <f t="shared" si="54"/>
        <v>Medium</v>
      </c>
    </row>
    <row r="339" spans="1:17" ht="12.5" x14ac:dyDescent="0.25">
      <c r="A339" s="9" t="s">
        <v>356</v>
      </c>
      <c r="B339" s="9" t="s">
        <v>7</v>
      </c>
      <c r="C339" s="9" t="s">
        <v>8</v>
      </c>
      <c r="D339" s="10">
        <v>42774</v>
      </c>
      <c r="E339" s="10" t="str">
        <f t="shared" si="47"/>
        <v>2017</v>
      </c>
      <c r="F339" s="10" t="str">
        <f t="shared" si="48"/>
        <v>Feb</v>
      </c>
      <c r="G339" s="10" t="str">
        <f t="shared" si="49"/>
        <v>Q1</v>
      </c>
      <c r="H339" s="11">
        <f t="shared" ca="1" si="46"/>
        <v>8</v>
      </c>
      <c r="I339" t="str">
        <f t="shared" ca="1" si="50"/>
        <v>Established</v>
      </c>
      <c r="J339">
        <v>7</v>
      </c>
      <c r="K339" s="11">
        <v>1</v>
      </c>
      <c r="L339" s="11" t="str">
        <f t="shared" si="51"/>
        <v>Poor Performer</v>
      </c>
      <c r="M339" s="11">
        <v>37</v>
      </c>
      <c r="N339" s="11" t="str">
        <f t="shared" si="52"/>
        <v>Established Professional</v>
      </c>
      <c r="O339" s="11">
        <f t="shared" si="53"/>
        <v>23</v>
      </c>
      <c r="P339" s="12">
        <v>1386733</v>
      </c>
      <c r="Q339" t="str">
        <f t="shared" si="54"/>
        <v>Low</v>
      </c>
    </row>
    <row r="340" spans="1:17" ht="12.5" x14ac:dyDescent="0.25">
      <c r="A340" s="9" t="s">
        <v>357</v>
      </c>
      <c r="B340" s="9" t="s">
        <v>13</v>
      </c>
      <c r="C340" s="9" t="s">
        <v>14</v>
      </c>
      <c r="D340" s="10">
        <v>39197</v>
      </c>
      <c r="E340" s="10" t="str">
        <f t="shared" si="47"/>
        <v>2007</v>
      </c>
      <c r="F340" s="10" t="str">
        <f t="shared" si="48"/>
        <v>Apr</v>
      </c>
      <c r="G340" s="10" t="str">
        <f t="shared" si="49"/>
        <v>Q2</v>
      </c>
      <c r="H340" s="11">
        <f t="shared" ca="1" si="46"/>
        <v>18</v>
      </c>
      <c r="I340" t="str">
        <f t="shared" ca="1" si="50"/>
        <v>Senior</v>
      </c>
      <c r="J340">
        <v>4</v>
      </c>
      <c r="K340" s="11">
        <v>2</v>
      </c>
      <c r="L340" s="11" t="str">
        <f t="shared" si="51"/>
        <v>Fair Performer</v>
      </c>
      <c r="M340" s="11">
        <v>51</v>
      </c>
      <c r="N340" s="11" t="str">
        <f t="shared" si="52"/>
        <v>Senior Professional</v>
      </c>
      <c r="O340" s="11">
        <f t="shared" si="53"/>
        <v>9</v>
      </c>
      <c r="P340" s="12">
        <v>2627377</v>
      </c>
      <c r="Q340" t="str">
        <f t="shared" si="54"/>
        <v>Medium</v>
      </c>
    </row>
    <row r="341" spans="1:17" ht="12.5" x14ac:dyDescent="0.25">
      <c r="A341" s="9" t="s">
        <v>358</v>
      </c>
      <c r="B341" s="9" t="s">
        <v>13</v>
      </c>
      <c r="C341" s="9" t="s">
        <v>14</v>
      </c>
      <c r="D341" s="10">
        <v>43989</v>
      </c>
      <c r="E341" s="10" t="str">
        <f t="shared" si="47"/>
        <v>2020</v>
      </c>
      <c r="F341" s="10" t="str">
        <f t="shared" si="48"/>
        <v>Jun</v>
      </c>
      <c r="G341" s="10" t="str">
        <f t="shared" si="49"/>
        <v>Q2</v>
      </c>
      <c r="H341" s="11">
        <f t="shared" ca="1" si="46"/>
        <v>5</v>
      </c>
      <c r="I341" t="str">
        <f t="shared" ca="1" si="50"/>
        <v>Established</v>
      </c>
      <c r="J341">
        <v>3</v>
      </c>
      <c r="K341" s="11">
        <v>4</v>
      </c>
      <c r="L341" s="11" t="str">
        <f t="shared" si="51"/>
        <v>Good Performer</v>
      </c>
      <c r="M341" s="11">
        <v>24</v>
      </c>
      <c r="N341" s="11" t="str">
        <f t="shared" si="52"/>
        <v>Young Talent</v>
      </c>
      <c r="O341" s="11">
        <f t="shared" si="53"/>
        <v>36</v>
      </c>
      <c r="P341" s="12">
        <v>2805516</v>
      </c>
      <c r="Q341" t="str">
        <f t="shared" si="54"/>
        <v>Medium</v>
      </c>
    </row>
    <row r="342" spans="1:17" ht="12.5" x14ac:dyDescent="0.25">
      <c r="A342" s="9" t="s">
        <v>359</v>
      </c>
      <c r="B342" s="9" t="s">
        <v>7</v>
      </c>
      <c r="C342" s="9" t="s">
        <v>8</v>
      </c>
      <c r="D342" s="10">
        <v>38200</v>
      </c>
      <c r="E342" s="10" t="str">
        <f t="shared" si="47"/>
        <v>2004</v>
      </c>
      <c r="F342" s="10" t="str">
        <f t="shared" si="48"/>
        <v>Aug</v>
      </c>
      <c r="G342" s="10" t="str">
        <f t="shared" si="49"/>
        <v>Q3</v>
      </c>
      <c r="H342" s="11">
        <f t="shared" ca="1" si="46"/>
        <v>21</v>
      </c>
      <c r="I342" t="str">
        <f t="shared" ca="1" si="50"/>
        <v>Senior</v>
      </c>
      <c r="J342">
        <v>1</v>
      </c>
      <c r="K342" s="11">
        <v>4</v>
      </c>
      <c r="L342" s="11" t="str">
        <f t="shared" si="51"/>
        <v>Good Performer</v>
      </c>
      <c r="M342" s="11">
        <v>27</v>
      </c>
      <c r="N342" s="11" t="str">
        <f t="shared" si="52"/>
        <v>Emerging Professional</v>
      </c>
      <c r="O342" s="11">
        <f t="shared" si="53"/>
        <v>33</v>
      </c>
      <c r="P342" s="12">
        <v>2963560</v>
      </c>
      <c r="Q342" t="str">
        <f t="shared" si="54"/>
        <v>Medium</v>
      </c>
    </row>
    <row r="343" spans="1:17" ht="12.5" x14ac:dyDescent="0.25">
      <c r="A343" s="9" t="s">
        <v>360</v>
      </c>
      <c r="B343" s="9" t="s">
        <v>13</v>
      </c>
      <c r="C343" s="9" t="s">
        <v>14</v>
      </c>
      <c r="D343" s="10">
        <v>43069</v>
      </c>
      <c r="E343" s="10" t="str">
        <f t="shared" si="47"/>
        <v>2017</v>
      </c>
      <c r="F343" s="10" t="str">
        <f t="shared" si="48"/>
        <v>Nov</v>
      </c>
      <c r="G343" s="10" t="str">
        <f t="shared" si="49"/>
        <v>Q4</v>
      </c>
      <c r="H343" s="11">
        <f t="shared" ca="1" si="46"/>
        <v>8</v>
      </c>
      <c r="I343" t="str">
        <f t="shared" ca="1" si="50"/>
        <v>Established</v>
      </c>
      <c r="J343">
        <v>7</v>
      </c>
      <c r="K343" s="11">
        <v>1</v>
      </c>
      <c r="L343" s="11" t="str">
        <f t="shared" si="51"/>
        <v>Poor Performer</v>
      </c>
      <c r="M343" s="11">
        <v>23</v>
      </c>
      <c r="N343" s="11" t="str">
        <f t="shared" si="52"/>
        <v>Young Talent</v>
      </c>
      <c r="O343" s="11">
        <f t="shared" si="53"/>
        <v>37</v>
      </c>
      <c r="P343" s="12">
        <v>4418817</v>
      </c>
      <c r="Q343" t="str">
        <f t="shared" si="54"/>
        <v>Very High</v>
      </c>
    </row>
    <row r="344" spans="1:17" ht="12.5" x14ac:dyDescent="0.25">
      <c r="A344" s="9" t="s">
        <v>361</v>
      </c>
      <c r="B344" s="9" t="s">
        <v>13</v>
      </c>
      <c r="C344" s="9" t="s">
        <v>14</v>
      </c>
      <c r="D344" s="10">
        <v>41778</v>
      </c>
      <c r="E344" s="10" t="str">
        <f t="shared" si="47"/>
        <v>2014</v>
      </c>
      <c r="F344" s="10" t="str">
        <f t="shared" si="48"/>
        <v>May</v>
      </c>
      <c r="G344" s="10" t="str">
        <f t="shared" si="49"/>
        <v>Q2</v>
      </c>
      <c r="H344" s="11">
        <f t="shared" ca="1" si="46"/>
        <v>11</v>
      </c>
      <c r="I344" t="str">
        <f t="shared" ca="1" si="50"/>
        <v>Senior</v>
      </c>
      <c r="J344">
        <v>1</v>
      </c>
      <c r="K344" s="11">
        <v>4</v>
      </c>
      <c r="L344" s="11" t="str">
        <f t="shared" si="51"/>
        <v>Good Performer</v>
      </c>
      <c r="M344" s="11">
        <v>34</v>
      </c>
      <c r="N344" s="11" t="str">
        <f t="shared" si="52"/>
        <v>Emerging Professional</v>
      </c>
      <c r="O344" s="11">
        <f t="shared" si="53"/>
        <v>26</v>
      </c>
      <c r="P344" s="12">
        <v>2526259</v>
      </c>
      <c r="Q344" t="str">
        <f t="shared" si="54"/>
        <v>Medium</v>
      </c>
    </row>
    <row r="345" spans="1:17" ht="12.5" x14ac:dyDescent="0.25">
      <c r="A345" s="9" t="s">
        <v>362</v>
      </c>
      <c r="B345" s="9" t="s">
        <v>13</v>
      </c>
      <c r="C345" s="9" t="s">
        <v>14</v>
      </c>
      <c r="D345" s="10">
        <v>44307</v>
      </c>
      <c r="E345" s="10" t="str">
        <f t="shared" si="47"/>
        <v>2021</v>
      </c>
      <c r="F345" s="10" t="str">
        <f t="shared" si="48"/>
        <v>Apr</v>
      </c>
      <c r="G345" s="10" t="str">
        <f t="shared" si="49"/>
        <v>Q2</v>
      </c>
      <c r="H345" s="11">
        <f t="shared" ca="1" si="46"/>
        <v>4</v>
      </c>
      <c r="I345" t="str">
        <f t="shared" ca="1" si="50"/>
        <v>Junior</v>
      </c>
      <c r="J345">
        <v>4</v>
      </c>
      <c r="K345" s="11">
        <v>3</v>
      </c>
      <c r="L345" s="11" t="str">
        <f t="shared" si="51"/>
        <v>Average Performer</v>
      </c>
      <c r="M345" s="11">
        <v>55</v>
      </c>
      <c r="N345" s="11" t="str">
        <f t="shared" si="52"/>
        <v>Senior Professional</v>
      </c>
      <c r="O345" s="11">
        <f t="shared" si="53"/>
        <v>5</v>
      </c>
      <c r="P345" s="12">
        <v>3351031</v>
      </c>
      <c r="Q345" t="str">
        <f t="shared" si="54"/>
        <v>High</v>
      </c>
    </row>
    <row r="346" spans="1:17" ht="12.5" x14ac:dyDescent="0.25">
      <c r="A346" s="9" t="s">
        <v>363</v>
      </c>
      <c r="B346" s="9" t="s">
        <v>16</v>
      </c>
      <c r="C346" s="9" t="s">
        <v>17</v>
      </c>
      <c r="D346" s="10">
        <v>39649</v>
      </c>
      <c r="E346" s="10" t="str">
        <f t="shared" si="47"/>
        <v>2008</v>
      </c>
      <c r="F346" s="10" t="str">
        <f t="shared" si="48"/>
        <v>Jul</v>
      </c>
      <c r="G346" s="10" t="str">
        <f t="shared" si="49"/>
        <v>Q3</v>
      </c>
      <c r="H346" s="11">
        <f t="shared" ca="1" si="46"/>
        <v>17</v>
      </c>
      <c r="I346" t="str">
        <f t="shared" ca="1" si="50"/>
        <v>Senior</v>
      </c>
      <c r="J346">
        <v>3</v>
      </c>
      <c r="K346" s="11">
        <v>4</v>
      </c>
      <c r="L346" s="11" t="str">
        <f t="shared" si="51"/>
        <v>Good Performer</v>
      </c>
      <c r="M346" s="11">
        <v>42</v>
      </c>
      <c r="N346" s="11" t="str">
        <f t="shared" si="52"/>
        <v>Established Professional</v>
      </c>
      <c r="O346" s="11">
        <f t="shared" si="53"/>
        <v>18</v>
      </c>
      <c r="P346" s="12">
        <v>3758794</v>
      </c>
      <c r="Q346" t="str">
        <f t="shared" si="54"/>
        <v>High</v>
      </c>
    </row>
    <row r="347" spans="1:17" ht="12.5" x14ac:dyDescent="0.25">
      <c r="A347" s="9" t="s">
        <v>364</v>
      </c>
      <c r="B347" s="9" t="s">
        <v>13</v>
      </c>
      <c r="C347" s="9" t="s">
        <v>14</v>
      </c>
      <c r="D347" s="10">
        <v>43764</v>
      </c>
      <c r="E347" s="10" t="str">
        <f t="shared" si="47"/>
        <v>2019</v>
      </c>
      <c r="F347" s="10" t="str">
        <f t="shared" si="48"/>
        <v>Oct</v>
      </c>
      <c r="G347" s="10" t="str">
        <f t="shared" si="49"/>
        <v>Q4</v>
      </c>
      <c r="H347" s="11">
        <f t="shared" ca="1" si="46"/>
        <v>6</v>
      </c>
      <c r="I347" t="str">
        <f t="shared" ca="1" si="50"/>
        <v>Established</v>
      </c>
      <c r="J347">
        <v>5</v>
      </c>
      <c r="K347" s="11">
        <v>4</v>
      </c>
      <c r="L347" s="11" t="str">
        <f t="shared" si="51"/>
        <v>Good Performer</v>
      </c>
      <c r="M347" s="11">
        <v>39</v>
      </c>
      <c r="N347" s="11" t="str">
        <f t="shared" si="52"/>
        <v>Established Professional</v>
      </c>
      <c r="O347" s="11">
        <f t="shared" si="53"/>
        <v>21</v>
      </c>
      <c r="P347" s="12">
        <v>5711875</v>
      </c>
      <c r="Q347" t="str">
        <f t="shared" si="54"/>
        <v>Very High</v>
      </c>
    </row>
    <row r="348" spans="1:17" ht="12.5" x14ac:dyDescent="0.25">
      <c r="A348" s="9" t="s">
        <v>365</v>
      </c>
      <c r="B348" s="9" t="s">
        <v>36</v>
      </c>
      <c r="C348" s="9" t="s">
        <v>37</v>
      </c>
      <c r="D348" s="10">
        <v>40776</v>
      </c>
      <c r="E348" s="10" t="str">
        <f t="shared" si="47"/>
        <v>2011</v>
      </c>
      <c r="F348" s="10" t="str">
        <f t="shared" si="48"/>
        <v>Aug</v>
      </c>
      <c r="G348" s="10" t="str">
        <f t="shared" si="49"/>
        <v>Q3</v>
      </c>
      <c r="H348" s="11">
        <f t="shared" ca="1" si="46"/>
        <v>14</v>
      </c>
      <c r="I348" t="str">
        <f t="shared" ca="1" si="50"/>
        <v>Senior</v>
      </c>
      <c r="J348">
        <v>5</v>
      </c>
      <c r="K348" s="11">
        <v>4</v>
      </c>
      <c r="L348" s="11" t="str">
        <f t="shared" si="51"/>
        <v>Good Performer</v>
      </c>
      <c r="M348" s="11">
        <v>56</v>
      </c>
      <c r="N348" s="11" t="str">
        <f t="shared" si="52"/>
        <v>Senior Professional</v>
      </c>
      <c r="O348" s="11">
        <f t="shared" si="53"/>
        <v>4</v>
      </c>
      <c r="P348" s="12">
        <v>5739525</v>
      </c>
      <c r="Q348" t="str">
        <f t="shared" si="54"/>
        <v>Very High</v>
      </c>
    </row>
    <row r="349" spans="1:17" ht="12.5" x14ac:dyDescent="0.25">
      <c r="A349" s="9" t="s">
        <v>366</v>
      </c>
      <c r="B349" s="9" t="s">
        <v>10</v>
      </c>
      <c r="C349" s="9" t="s">
        <v>11</v>
      </c>
      <c r="D349" s="10">
        <v>45077</v>
      </c>
      <c r="E349" s="10" t="str">
        <f t="shared" si="47"/>
        <v>2023</v>
      </c>
      <c r="F349" s="10" t="str">
        <f t="shared" si="48"/>
        <v>May</v>
      </c>
      <c r="G349" s="10" t="str">
        <f t="shared" si="49"/>
        <v>Q2</v>
      </c>
      <c r="H349" s="11">
        <f t="shared" ca="1" si="46"/>
        <v>2</v>
      </c>
      <c r="I349" t="str">
        <f t="shared" ca="1" si="50"/>
        <v>Junior</v>
      </c>
      <c r="J349">
        <v>2</v>
      </c>
      <c r="K349" s="11">
        <v>5</v>
      </c>
      <c r="L349" s="11" t="str">
        <f t="shared" si="51"/>
        <v>Excellent Performer</v>
      </c>
      <c r="M349" s="11">
        <v>56</v>
      </c>
      <c r="N349" s="11" t="str">
        <f t="shared" si="52"/>
        <v>Senior Professional</v>
      </c>
      <c r="O349" s="11">
        <f t="shared" si="53"/>
        <v>4</v>
      </c>
      <c r="P349" s="12">
        <v>965384</v>
      </c>
      <c r="Q349" t="str">
        <f t="shared" si="54"/>
        <v>Low</v>
      </c>
    </row>
    <row r="350" spans="1:17" ht="12.5" x14ac:dyDescent="0.25">
      <c r="A350" s="9" t="s">
        <v>367</v>
      </c>
      <c r="B350" s="9" t="s">
        <v>36</v>
      </c>
      <c r="C350" s="9" t="s">
        <v>37</v>
      </c>
      <c r="D350" s="10">
        <v>39824</v>
      </c>
      <c r="E350" s="10" t="str">
        <f t="shared" si="47"/>
        <v>2009</v>
      </c>
      <c r="F350" s="10" t="str">
        <f t="shared" si="48"/>
        <v>Jan</v>
      </c>
      <c r="G350" s="10" t="str">
        <f t="shared" si="49"/>
        <v>Q1</v>
      </c>
      <c r="H350" s="11">
        <f t="shared" ca="1" si="46"/>
        <v>16</v>
      </c>
      <c r="I350" t="str">
        <f t="shared" ca="1" si="50"/>
        <v>Senior</v>
      </c>
      <c r="J350">
        <v>6</v>
      </c>
      <c r="K350" s="11">
        <v>2</v>
      </c>
      <c r="L350" s="11" t="str">
        <f t="shared" si="51"/>
        <v>Fair Performer</v>
      </c>
      <c r="M350" s="11">
        <v>48</v>
      </c>
      <c r="N350" s="11" t="str">
        <f t="shared" si="52"/>
        <v>Senior Professional</v>
      </c>
      <c r="O350" s="11">
        <f t="shared" si="53"/>
        <v>12</v>
      </c>
      <c r="P350" s="12">
        <v>2821753</v>
      </c>
      <c r="Q350" t="str">
        <f t="shared" si="54"/>
        <v>Medium</v>
      </c>
    </row>
    <row r="351" spans="1:17" ht="12.5" x14ac:dyDescent="0.25">
      <c r="A351" s="9" t="s">
        <v>368</v>
      </c>
      <c r="B351" s="9" t="s">
        <v>10</v>
      </c>
      <c r="C351" s="9" t="s">
        <v>11</v>
      </c>
      <c r="D351" s="10">
        <v>44662</v>
      </c>
      <c r="E351" s="10" t="str">
        <f t="shared" si="47"/>
        <v>2022</v>
      </c>
      <c r="F351" s="10" t="str">
        <f t="shared" si="48"/>
        <v>Apr</v>
      </c>
      <c r="G351" s="10" t="str">
        <f t="shared" si="49"/>
        <v>Q2</v>
      </c>
      <c r="H351" s="11">
        <f t="shared" ca="1" si="46"/>
        <v>3</v>
      </c>
      <c r="I351" t="str">
        <f t="shared" ca="1" si="50"/>
        <v>Junior</v>
      </c>
      <c r="J351">
        <v>7</v>
      </c>
      <c r="K351" s="11">
        <v>1</v>
      </c>
      <c r="L351" s="11" t="str">
        <f t="shared" si="51"/>
        <v>Poor Performer</v>
      </c>
      <c r="M351" s="11">
        <v>41</v>
      </c>
      <c r="N351" s="11" t="str">
        <f t="shared" si="52"/>
        <v>Established Professional</v>
      </c>
      <c r="O351" s="11">
        <f t="shared" si="53"/>
        <v>19</v>
      </c>
      <c r="P351" s="12">
        <v>4836395</v>
      </c>
      <c r="Q351" t="str">
        <f t="shared" si="54"/>
        <v>Very High</v>
      </c>
    </row>
    <row r="352" spans="1:17" ht="12.5" x14ac:dyDescent="0.25">
      <c r="A352" s="9" t="s">
        <v>369</v>
      </c>
      <c r="B352" s="9" t="s">
        <v>7</v>
      </c>
      <c r="C352" s="9" t="s">
        <v>8</v>
      </c>
      <c r="D352" s="10">
        <v>40328</v>
      </c>
      <c r="E352" s="10" t="str">
        <f t="shared" si="47"/>
        <v>2010</v>
      </c>
      <c r="F352" s="10" t="str">
        <f t="shared" si="48"/>
        <v>May</v>
      </c>
      <c r="G352" s="10" t="str">
        <f t="shared" si="49"/>
        <v>Q2</v>
      </c>
      <c r="H352" s="11">
        <f t="shared" ca="1" si="46"/>
        <v>15</v>
      </c>
      <c r="I352" t="str">
        <f t="shared" ca="1" si="50"/>
        <v>Senior</v>
      </c>
      <c r="J352">
        <v>2</v>
      </c>
      <c r="K352" s="11">
        <v>2</v>
      </c>
      <c r="L352" s="11" t="str">
        <f t="shared" si="51"/>
        <v>Fair Performer</v>
      </c>
      <c r="M352" s="11">
        <v>23</v>
      </c>
      <c r="N352" s="11" t="str">
        <f t="shared" si="52"/>
        <v>Young Talent</v>
      </c>
      <c r="O352" s="11">
        <f t="shared" si="53"/>
        <v>37</v>
      </c>
      <c r="P352" s="12">
        <v>2540839</v>
      </c>
      <c r="Q352" t="str">
        <f t="shared" si="54"/>
        <v>Medium</v>
      </c>
    </row>
    <row r="353" spans="1:17" ht="12.5" x14ac:dyDescent="0.25">
      <c r="A353" s="9" t="s">
        <v>370</v>
      </c>
      <c r="B353" s="9" t="s">
        <v>36</v>
      </c>
      <c r="C353" s="9" t="s">
        <v>37</v>
      </c>
      <c r="D353" s="10">
        <v>44880</v>
      </c>
      <c r="E353" s="10" t="str">
        <f t="shared" si="47"/>
        <v>2022</v>
      </c>
      <c r="F353" s="10" t="str">
        <f t="shared" si="48"/>
        <v>Nov</v>
      </c>
      <c r="G353" s="10" t="str">
        <f t="shared" si="49"/>
        <v>Q4</v>
      </c>
      <c r="H353" s="11">
        <f t="shared" ca="1" si="46"/>
        <v>3</v>
      </c>
      <c r="I353" t="str">
        <f t="shared" ca="1" si="50"/>
        <v>Junior</v>
      </c>
      <c r="J353">
        <v>4</v>
      </c>
      <c r="K353" s="11">
        <v>2</v>
      </c>
      <c r="L353" s="11" t="str">
        <f t="shared" si="51"/>
        <v>Fair Performer</v>
      </c>
      <c r="M353" s="11">
        <v>48</v>
      </c>
      <c r="N353" s="11" t="str">
        <f t="shared" si="52"/>
        <v>Senior Professional</v>
      </c>
      <c r="O353" s="11">
        <f t="shared" si="53"/>
        <v>12</v>
      </c>
      <c r="P353" s="12">
        <v>5321440</v>
      </c>
      <c r="Q353" t="str">
        <f t="shared" si="54"/>
        <v>Very High</v>
      </c>
    </row>
    <row r="354" spans="1:17" ht="12.5" x14ac:dyDescent="0.25">
      <c r="A354" s="9" t="s">
        <v>371</v>
      </c>
      <c r="B354" s="9" t="s">
        <v>7</v>
      </c>
      <c r="C354" s="9" t="s">
        <v>8</v>
      </c>
      <c r="D354" s="10">
        <v>40562</v>
      </c>
      <c r="E354" s="10" t="str">
        <f t="shared" si="47"/>
        <v>2011</v>
      </c>
      <c r="F354" s="10" t="str">
        <f t="shared" si="48"/>
        <v>Jan</v>
      </c>
      <c r="G354" s="10" t="str">
        <f t="shared" si="49"/>
        <v>Q1</v>
      </c>
      <c r="H354" s="11">
        <f t="shared" ca="1" si="46"/>
        <v>14</v>
      </c>
      <c r="I354" t="str">
        <f t="shared" ca="1" si="50"/>
        <v>Senior</v>
      </c>
      <c r="J354">
        <v>6</v>
      </c>
      <c r="K354" s="11">
        <v>2</v>
      </c>
      <c r="L354" s="11" t="str">
        <f t="shared" si="51"/>
        <v>Fair Performer</v>
      </c>
      <c r="M354" s="11">
        <v>54</v>
      </c>
      <c r="N354" s="11" t="str">
        <f t="shared" si="52"/>
        <v>Senior Professional</v>
      </c>
      <c r="O354" s="11">
        <f t="shared" si="53"/>
        <v>6</v>
      </c>
      <c r="P354" s="12">
        <v>4993120</v>
      </c>
      <c r="Q354" t="str">
        <f t="shared" si="54"/>
        <v>Very High</v>
      </c>
    </row>
    <row r="355" spans="1:17" ht="12.5" x14ac:dyDescent="0.25">
      <c r="A355" s="9" t="s">
        <v>372</v>
      </c>
      <c r="B355" s="9" t="s">
        <v>20</v>
      </c>
      <c r="C355" s="9" t="s">
        <v>21</v>
      </c>
      <c r="D355" s="10">
        <v>38302</v>
      </c>
      <c r="E355" s="10" t="str">
        <f t="shared" si="47"/>
        <v>2004</v>
      </c>
      <c r="F355" s="10" t="str">
        <f t="shared" si="48"/>
        <v>Nov</v>
      </c>
      <c r="G355" s="10" t="str">
        <f t="shared" si="49"/>
        <v>Q4</v>
      </c>
      <c r="H355" s="11">
        <f t="shared" ca="1" si="46"/>
        <v>21</v>
      </c>
      <c r="I355" t="str">
        <f t="shared" ca="1" si="50"/>
        <v>Senior</v>
      </c>
      <c r="J355">
        <v>2</v>
      </c>
      <c r="K355" s="11">
        <v>2</v>
      </c>
      <c r="L355" s="11" t="str">
        <f t="shared" si="51"/>
        <v>Fair Performer</v>
      </c>
      <c r="M355" s="11">
        <v>19</v>
      </c>
      <c r="N355" s="11" t="str">
        <f t="shared" si="52"/>
        <v>Young Talent</v>
      </c>
      <c r="O355" s="11">
        <f t="shared" si="53"/>
        <v>41</v>
      </c>
      <c r="P355" s="12">
        <v>1271753</v>
      </c>
      <c r="Q355" t="str">
        <f t="shared" si="54"/>
        <v>Low</v>
      </c>
    </row>
    <row r="356" spans="1:17" ht="12.5" x14ac:dyDescent="0.25">
      <c r="A356" s="9" t="s">
        <v>373</v>
      </c>
      <c r="B356" s="9" t="s">
        <v>49</v>
      </c>
      <c r="C356" s="9" t="s">
        <v>50</v>
      </c>
      <c r="D356" s="10">
        <v>39837</v>
      </c>
      <c r="E356" s="10" t="str">
        <f t="shared" si="47"/>
        <v>2009</v>
      </c>
      <c r="F356" s="10" t="str">
        <f t="shared" si="48"/>
        <v>Jan</v>
      </c>
      <c r="G356" s="10" t="str">
        <f t="shared" si="49"/>
        <v>Q1</v>
      </c>
      <c r="H356" s="11">
        <f t="shared" ca="1" si="46"/>
        <v>16</v>
      </c>
      <c r="I356" t="str">
        <f t="shared" ca="1" si="50"/>
        <v>Senior</v>
      </c>
      <c r="J356">
        <v>7</v>
      </c>
      <c r="K356" s="11">
        <v>1</v>
      </c>
      <c r="L356" s="11" t="str">
        <f t="shared" si="51"/>
        <v>Poor Performer</v>
      </c>
      <c r="M356" s="11">
        <v>44</v>
      </c>
      <c r="N356" s="11" t="str">
        <f t="shared" si="52"/>
        <v>Established Professional</v>
      </c>
      <c r="O356" s="11">
        <f t="shared" si="53"/>
        <v>16</v>
      </c>
      <c r="P356" s="12">
        <v>4317285</v>
      </c>
      <c r="Q356" t="str">
        <f t="shared" si="54"/>
        <v>Very High</v>
      </c>
    </row>
    <row r="357" spans="1:17" ht="12.5" x14ac:dyDescent="0.25">
      <c r="A357" s="9" t="s">
        <v>374</v>
      </c>
      <c r="B357" s="9" t="s">
        <v>10</v>
      </c>
      <c r="C357" s="9" t="s">
        <v>11</v>
      </c>
      <c r="D357" s="10">
        <v>40163</v>
      </c>
      <c r="E357" s="10" t="str">
        <f t="shared" si="47"/>
        <v>2009</v>
      </c>
      <c r="F357" s="10" t="str">
        <f t="shared" si="48"/>
        <v>Dec</v>
      </c>
      <c r="G357" s="10" t="str">
        <f t="shared" si="49"/>
        <v>Q4</v>
      </c>
      <c r="H357" s="11">
        <f t="shared" ca="1" si="46"/>
        <v>16</v>
      </c>
      <c r="I357" t="str">
        <f t="shared" ca="1" si="50"/>
        <v>Senior</v>
      </c>
      <c r="J357">
        <v>4</v>
      </c>
      <c r="K357" s="11">
        <v>4</v>
      </c>
      <c r="L357" s="11" t="str">
        <f t="shared" si="51"/>
        <v>Good Performer</v>
      </c>
      <c r="M357" s="11">
        <v>56</v>
      </c>
      <c r="N357" s="11" t="str">
        <f t="shared" si="52"/>
        <v>Senior Professional</v>
      </c>
      <c r="O357" s="11">
        <f t="shared" si="53"/>
        <v>4</v>
      </c>
      <c r="P357" s="12">
        <v>3449355</v>
      </c>
      <c r="Q357" t="str">
        <f t="shared" si="54"/>
        <v>Very High</v>
      </c>
    </row>
    <row r="358" spans="1:17" ht="12.5" x14ac:dyDescent="0.25">
      <c r="A358" s="9" t="s">
        <v>375</v>
      </c>
      <c r="B358" s="9" t="s">
        <v>49</v>
      </c>
      <c r="C358" s="9" t="s">
        <v>50</v>
      </c>
      <c r="D358" s="10">
        <v>43571</v>
      </c>
      <c r="E358" s="10" t="str">
        <f t="shared" si="47"/>
        <v>2019</v>
      </c>
      <c r="F358" s="10" t="str">
        <f t="shared" si="48"/>
        <v>Apr</v>
      </c>
      <c r="G358" s="10" t="str">
        <f t="shared" si="49"/>
        <v>Q2</v>
      </c>
      <c r="H358" s="11">
        <f t="shared" ca="1" si="46"/>
        <v>6</v>
      </c>
      <c r="I358" t="str">
        <f t="shared" ca="1" si="50"/>
        <v>Established</v>
      </c>
      <c r="J358">
        <v>1</v>
      </c>
      <c r="K358" s="11">
        <v>4</v>
      </c>
      <c r="L358" s="11" t="str">
        <f t="shared" si="51"/>
        <v>Good Performer</v>
      </c>
      <c r="M358" s="11">
        <v>34</v>
      </c>
      <c r="N358" s="11" t="str">
        <f t="shared" si="52"/>
        <v>Emerging Professional</v>
      </c>
      <c r="O358" s="11">
        <f t="shared" si="53"/>
        <v>26</v>
      </c>
      <c r="P358" s="12">
        <v>377480</v>
      </c>
      <c r="Q358" t="str">
        <f t="shared" si="54"/>
        <v>Low</v>
      </c>
    </row>
    <row r="359" spans="1:17" ht="12.5" x14ac:dyDescent="0.25">
      <c r="A359" s="9" t="s">
        <v>376</v>
      </c>
      <c r="B359" s="9" t="s">
        <v>4</v>
      </c>
      <c r="C359" s="9" t="s">
        <v>5</v>
      </c>
      <c r="D359" s="10">
        <v>42665</v>
      </c>
      <c r="E359" s="10" t="str">
        <f t="shared" si="47"/>
        <v>2016</v>
      </c>
      <c r="F359" s="10" t="str">
        <f t="shared" si="48"/>
        <v>Oct</v>
      </c>
      <c r="G359" s="10" t="str">
        <f t="shared" si="49"/>
        <v>Q4</v>
      </c>
      <c r="H359" s="11">
        <f t="shared" ca="1" si="46"/>
        <v>9</v>
      </c>
      <c r="I359" t="str">
        <f t="shared" ca="1" si="50"/>
        <v>Established</v>
      </c>
      <c r="J359">
        <v>4</v>
      </c>
      <c r="K359" s="11">
        <v>4</v>
      </c>
      <c r="L359" s="11" t="str">
        <f t="shared" si="51"/>
        <v>Good Performer</v>
      </c>
      <c r="M359" s="11">
        <v>29</v>
      </c>
      <c r="N359" s="11" t="str">
        <f t="shared" si="52"/>
        <v>Emerging Professional</v>
      </c>
      <c r="O359" s="11">
        <f t="shared" si="53"/>
        <v>31</v>
      </c>
      <c r="P359" s="12">
        <v>2970093</v>
      </c>
      <c r="Q359" t="str">
        <f t="shared" si="54"/>
        <v>High</v>
      </c>
    </row>
    <row r="360" spans="1:17" ht="12.5" x14ac:dyDescent="0.25">
      <c r="A360" s="9" t="s">
        <v>377</v>
      </c>
      <c r="B360" s="9" t="s">
        <v>16</v>
      </c>
      <c r="C360" s="9" t="s">
        <v>17</v>
      </c>
      <c r="D360" s="10">
        <v>41297</v>
      </c>
      <c r="E360" s="10" t="str">
        <f t="shared" si="47"/>
        <v>2013</v>
      </c>
      <c r="F360" s="10" t="str">
        <f t="shared" si="48"/>
        <v>Jan</v>
      </c>
      <c r="G360" s="10" t="str">
        <f t="shared" si="49"/>
        <v>Q1</v>
      </c>
      <c r="H360" s="11">
        <f t="shared" ca="1" si="46"/>
        <v>12</v>
      </c>
      <c r="I360" t="str">
        <f t="shared" ca="1" si="50"/>
        <v>Senior</v>
      </c>
      <c r="J360">
        <v>1</v>
      </c>
      <c r="K360" s="11">
        <v>1</v>
      </c>
      <c r="L360" s="11" t="str">
        <f t="shared" si="51"/>
        <v>Poor Performer</v>
      </c>
      <c r="M360" s="11">
        <v>29</v>
      </c>
      <c r="N360" s="11" t="str">
        <f t="shared" si="52"/>
        <v>Emerging Professional</v>
      </c>
      <c r="O360" s="11">
        <f t="shared" si="53"/>
        <v>31</v>
      </c>
      <c r="P360" s="12">
        <v>1707117</v>
      </c>
      <c r="Q360" t="str">
        <f t="shared" si="54"/>
        <v>Low</v>
      </c>
    </row>
    <row r="361" spans="1:17" ht="12.5" x14ac:dyDescent="0.25">
      <c r="A361" s="9" t="s">
        <v>378</v>
      </c>
      <c r="B361" s="9" t="s">
        <v>10</v>
      </c>
      <c r="C361" s="9" t="s">
        <v>11</v>
      </c>
      <c r="D361" s="10">
        <v>40100</v>
      </c>
      <c r="E361" s="10" t="str">
        <f t="shared" si="47"/>
        <v>2009</v>
      </c>
      <c r="F361" s="10" t="str">
        <f t="shared" si="48"/>
        <v>Oct</v>
      </c>
      <c r="G361" s="10" t="str">
        <f t="shared" si="49"/>
        <v>Q4</v>
      </c>
      <c r="H361" s="11">
        <f t="shared" ca="1" si="46"/>
        <v>16</v>
      </c>
      <c r="I361" t="str">
        <f t="shared" ca="1" si="50"/>
        <v>Senior</v>
      </c>
      <c r="J361">
        <v>5</v>
      </c>
      <c r="K361" s="11">
        <v>3</v>
      </c>
      <c r="L361" s="11" t="str">
        <f t="shared" si="51"/>
        <v>Average Performer</v>
      </c>
      <c r="M361" s="11">
        <v>55</v>
      </c>
      <c r="N361" s="11" t="str">
        <f t="shared" si="52"/>
        <v>Senior Professional</v>
      </c>
      <c r="O361" s="11">
        <f t="shared" si="53"/>
        <v>5</v>
      </c>
      <c r="P361" s="12">
        <v>2916845</v>
      </c>
      <c r="Q361" t="str">
        <f t="shared" si="54"/>
        <v>High</v>
      </c>
    </row>
    <row r="362" spans="1:17" ht="12.5" x14ac:dyDescent="0.25">
      <c r="A362" s="9" t="s">
        <v>379</v>
      </c>
      <c r="B362" s="9" t="s">
        <v>13</v>
      </c>
      <c r="C362" s="9" t="s">
        <v>14</v>
      </c>
      <c r="D362" s="10">
        <v>38164</v>
      </c>
      <c r="E362" s="10" t="str">
        <f t="shared" si="47"/>
        <v>2004</v>
      </c>
      <c r="F362" s="10" t="str">
        <f t="shared" si="48"/>
        <v>Jun</v>
      </c>
      <c r="G362" s="10" t="str">
        <f t="shared" si="49"/>
        <v>Q2</v>
      </c>
      <c r="H362" s="11">
        <f t="shared" ca="1" si="46"/>
        <v>21</v>
      </c>
      <c r="I362" t="str">
        <f t="shared" ca="1" si="50"/>
        <v>Senior</v>
      </c>
      <c r="J362">
        <v>1</v>
      </c>
      <c r="K362" s="11">
        <v>1</v>
      </c>
      <c r="L362" s="11" t="str">
        <f t="shared" si="51"/>
        <v>Poor Performer</v>
      </c>
      <c r="M362" s="11">
        <v>20</v>
      </c>
      <c r="N362" s="11" t="str">
        <f t="shared" si="52"/>
        <v>Young Talent</v>
      </c>
      <c r="O362" s="11">
        <f t="shared" si="53"/>
        <v>40</v>
      </c>
      <c r="P362" s="12">
        <v>789582</v>
      </c>
      <c r="Q362" t="str">
        <f t="shared" si="54"/>
        <v>Low</v>
      </c>
    </row>
    <row r="363" spans="1:17" ht="12.5" x14ac:dyDescent="0.25">
      <c r="A363" s="9" t="s">
        <v>380</v>
      </c>
      <c r="B363" s="9" t="s">
        <v>13</v>
      </c>
      <c r="C363" s="9" t="s">
        <v>14</v>
      </c>
      <c r="D363" s="10">
        <v>43158</v>
      </c>
      <c r="E363" s="10" t="str">
        <f t="shared" si="47"/>
        <v>2018</v>
      </c>
      <c r="F363" s="10" t="str">
        <f t="shared" si="48"/>
        <v>Feb</v>
      </c>
      <c r="G363" s="10" t="str">
        <f t="shared" si="49"/>
        <v>Q1</v>
      </c>
      <c r="H363" s="11">
        <f t="shared" ca="1" si="46"/>
        <v>7</v>
      </c>
      <c r="I363" t="str">
        <f t="shared" ca="1" si="50"/>
        <v>Established</v>
      </c>
      <c r="J363">
        <v>6</v>
      </c>
      <c r="K363" s="11">
        <v>2</v>
      </c>
      <c r="L363" s="11" t="str">
        <f t="shared" si="51"/>
        <v>Fair Performer</v>
      </c>
      <c r="M363" s="11">
        <v>45</v>
      </c>
      <c r="N363" s="11" t="str">
        <f t="shared" si="52"/>
        <v>Senior Professional</v>
      </c>
      <c r="O363" s="11">
        <f t="shared" si="53"/>
        <v>15</v>
      </c>
      <c r="P363" s="12">
        <v>4926448</v>
      </c>
      <c r="Q363" t="str">
        <f t="shared" si="54"/>
        <v>Very High</v>
      </c>
    </row>
    <row r="364" spans="1:17" ht="12.5" x14ac:dyDescent="0.25">
      <c r="A364" s="9" t="s">
        <v>381</v>
      </c>
      <c r="B364" s="9" t="s">
        <v>16</v>
      </c>
      <c r="C364" s="9" t="s">
        <v>17</v>
      </c>
      <c r="D364" s="10">
        <v>38090</v>
      </c>
      <c r="E364" s="10" t="str">
        <f t="shared" si="47"/>
        <v>2004</v>
      </c>
      <c r="F364" s="10" t="str">
        <f t="shared" si="48"/>
        <v>Apr</v>
      </c>
      <c r="G364" s="10" t="str">
        <f t="shared" si="49"/>
        <v>Q2</v>
      </c>
      <c r="H364" s="11">
        <f t="shared" ca="1" si="46"/>
        <v>21</v>
      </c>
      <c r="I364" t="str">
        <f t="shared" ca="1" si="50"/>
        <v>Senior</v>
      </c>
      <c r="J364">
        <v>2</v>
      </c>
      <c r="K364" s="11">
        <v>4</v>
      </c>
      <c r="L364" s="11" t="str">
        <f t="shared" si="51"/>
        <v>Good Performer</v>
      </c>
      <c r="M364" s="11">
        <v>49</v>
      </c>
      <c r="N364" s="11" t="str">
        <f t="shared" si="52"/>
        <v>Senior Professional</v>
      </c>
      <c r="O364" s="11">
        <f t="shared" si="53"/>
        <v>11</v>
      </c>
      <c r="P364" s="12">
        <v>2594920</v>
      </c>
      <c r="Q364" t="str">
        <f t="shared" si="54"/>
        <v>Medium</v>
      </c>
    </row>
    <row r="365" spans="1:17" ht="12.5" x14ac:dyDescent="0.25">
      <c r="A365" s="9" t="s">
        <v>382</v>
      </c>
      <c r="B365" s="9" t="s">
        <v>20</v>
      </c>
      <c r="C365" s="9" t="s">
        <v>21</v>
      </c>
      <c r="D365" s="10">
        <v>39674</v>
      </c>
      <c r="E365" s="10" t="str">
        <f t="shared" si="47"/>
        <v>2008</v>
      </c>
      <c r="F365" s="10" t="str">
        <f t="shared" si="48"/>
        <v>Aug</v>
      </c>
      <c r="G365" s="10" t="str">
        <f t="shared" si="49"/>
        <v>Q3</v>
      </c>
      <c r="H365" s="11">
        <f t="shared" ca="1" si="46"/>
        <v>17</v>
      </c>
      <c r="I365" t="str">
        <f t="shared" ca="1" si="50"/>
        <v>Senior</v>
      </c>
      <c r="J365">
        <v>2</v>
      </c>
      <c r="K365" s="11">
        <v>1</v>
      </c>
      <c r="L365" s="11" t="str">
        <f t="shared" si="51"/>
        <v>Poor Performer</v>
      </c>
      <c r="M365" s="11">
        <v>51</v>
      </c>
      <c r="N365" s="11" t="str">
        <f t="shared" si="52"/>
        <v>Senior Professional</v>
      </c>
      <c r="O365" s="11">
        <f t="shared" si="53"/>
        <v>9</v>
      </c>
      <c r="P365" s="12">
        <v>2766474</v>
      </c>
      <c r="Q365" t="str">
        <f t="shared" si="54"/>
        <v>Medium</v>
      </c>
    </row>
    <row r="366" spans="1:17" ht="12.5" x14ac:dyDescent="0.25">
      <c r="A366" s="9" t="s">
        <v>383</v>
      </c>
      <c r="B366" s="9" t="s">
        <v>13</v>
      </c>
      <c r="C366" s="9" t="s">
        <v>14</v>
      </c>
      <c r="D366" s="10">
        <v>41464</v>
      </c>
      <c r="E366" s="10" t="str">
        <f t="shared" si="47"/>
        <v>2013</v>
      </c>
      <c r="F366" s="10" t="str">
        <f t="shared" si="48"/>
        <v>Jul</v>
      </c>
      <c r="G366" s="10" t="str">
        <f t="shared" si="49"/>
        <v>Q3</v>
      </c>
      <c r="H366" s="11">
        <f t="shared" ca="1" si="46"/>
        <v>12</v>
      </c>
      <c r="I366" t="str">
        <f t="shared" ca="1" si="50"/>
        <v>Senior</v>
      </c>
      <c r="J366">
        <v>2</v>
      </c>
      <c r="K366" s="11">
        <v>3</v>
      </c>
      <c r="L366" s="11" t="str">
        <f t="shared" si="51"/>
        <v>Average Performer</v>
      </c>
      <c r="M366" s="11">
        <v>43</v>
      </c>
      <c r="N366" s="11" t="str">
        <f t="shared" si="52"/>
        <v>Established Professional</v>
      </c>
      <c r="O366" s="11">
        <f t="shared" si="53"/>
        <v>17</v>
      </c>
      <c r="P366" s="12">
        <v>3192416</v>
      </c>
      <c r="Q366" t="str">
        <f t="shared" si="54"/>
        <v>High</v>
      </c>
    </row>
    <row r="367" spans="1:17" ht="12.5" x14ac:dyDescent="0.25">
      <c r="A367" s="9" t="s">
        <v>384</v>
      </c>
      <c r="B367" s="9" t="s">
        <v>16</v>
      </c>
      <c r="C367" s="9" t="s">
        <v>17</v>
      </c>
      <c r="D367" s="10">
        <v>40712</v>
      </c>
      <c r="E367" s="10" t="str">
        <f t="shared" si="47"/>
        <v>2011</v>
      </c>
      <c r="F367" s="10" t="str">
        <f t="shared" si="48"/>
        <v>Jun</v>
      </c>
      <c r="G367" s="10" t="str">
        <f t="shared" si="49"/>
        <v>Q2</v>
      </c>
      <c r="H367" s="11">
        <f t="shared" ca="1" si="46"/>
        <v>14</v>
      </c>
      <c r="I367" t="str">
        <f t="shared" ca="1" si="50"/>
        <v>Senior</v>
      </c>
      <c r="J367">
        <v>5</v>
      </c>
      <c r="K367" s="11">
        <v>2</v>
      </c>
      <c r="L367" s="11" t="str">
        <f t="shared" si="51"/>
        <v>Fair Performer</v>
      </c>
      <c r="M367" s="11">
        <v>56</v>
      </c>
      <c r="N367" s="11" t="str">
        <f t="shared" si="52"/>
        <v>Senior Professional</v>
      </c>
      <c r="O367" s="11">
        <f t="shared" si="53"/>
        <v>4</v>
      </c>
      <c r="P367" s="12">
        <v>3520924</v>
      </c>
      <c r="Q367" t="str">
        <f t="shared" si="54"/>
        <v>Very High</v>
      </c>
    </row>
    <row r="368" spans="1:17" ht="12.5" x14ac:dyDescent="0.25">
      <c r="A368" s="9" t="s">
        <v>385</v>
      </c>
      <c r="B368" s="9" t="s">
        <v>16</v>
      </c>
      <c r="C368" s="9" t="s">
        <v>17</v>
      </c>
      <c r="D368" s="10">
        <v>43312</v>
      </c>
      <c r="E368" s="10" t="str">
        <f t="shared" si="47"/>
        <v>2018</v>
      </c>
      <c r="F368" s="10" t="str">
        <f t="shared" si="48"/>
        <v>Jul</v>
      </c>
      <c r="G368" s="10" t="str">
        <f t="shared" si="49"/>
        <v>Q3</v>
      </c>
      <c r="H368" s="11">
        <f t="shared" ca="1" si="46"/>
        <v>7</v>
      </c>
      <c r="I368" t="str">
        <f t="shared" ca="1" si="50"/>
        <v>Established</v>
      </c>
      <c r="J368">
        <v>7</v>
      </c>
      <c r="K368" s="11">
        <v>3</v>
      </c>
      <c r="L368" s="11" t="str">
        <f t="shared" si="51"/>
        <v>Average Performer</v>
      </c>
      <c r="M368" s="11">
        <v>55</v>
      </c>
      <c r="N368" s="11" t="str">
        <f t="shared" si="52"/>
        <v>Senior Professional</v>
      </c>
      <c r="O368" s="11">
        <f t="shared" si="53"/>
        <v>5</v>
      </c>
      <c r="P368" s="12">
        <v>2743960</v>
      </c>
      <c r="Q368" t="str">
        <f t="shared" si="54"/>
        <v>High</v>
      </c>
    </row>
    <row r="369" spans="1:17" ht="12.5" x14ac:dyDescent="0.25">
      <c r="A369" s="9" t="s">
        <v>386</v>
      </c>
      <c r="B369" s="9" t="s">
        <v>10</v>
      </c>
      <c r="C369" s="9" t="s">
        <v>11</v>
      </c>
      <c r="D369" s="10">
        <v>38649</v>
      </c>
      <c r="E369" s="10" t="str">
        <f t="shared" si="47"/>
        <v>2005</v>
      </c>
      <c r="F369" s="10" t="str">
        <f t="shared" si="48"/>
        <v>Oct</v>
      </c>
      <c r="G369" s="10" t="str">
        <f t="shared" si="49"/>
        <v>Q4</v>
      </c>
      <c r="H369" s="11">
        <f t="shared" ca="1" si="46"/>
        <v>20</v>
      </c>
      <c r="I369" t="str">
        <f t="shared" ca="1" si="50"/>
        <v>Senior</v>
      </c>
      <c r="J369">
        <v>6</v>
      </c>
      <c r="K369" s="11">
        <v>3</v>
      </c>
      <c r="L369" s="11" t="str">
        <f t="shared" si="51"/>
        <v>Average Performer</v>
      </c>
      <c r="M369" s="11">
        <v>45</v>
      </c>
      <c r="N369" s="11" t="str">
        <f t="shared" si="52"/>
        <v>Senior Professional</v>
      </c>
      <c r="O369" s="11">
        <f t="shared" si="53"/>
        <v>15</v>
      </c>
      <c r="P369" s="12">
        <v>3094458</v>
      </c>
      <c r="Q369" t="str">
        <f t="shared" si="54"/>
        <v>High</v>
      </c>
    </row>
    <row r="370" spans="1:17" ht="12.5" x14ac:dyDescent="0.25">
      <c r="A370" s="9" t="s">
        <v>387</v>
      </c>
      <c r="B370" s="9" t="s">
        <v>13</v>
      </c>
      <c r="C370" s="9" t="s">
        <v>14</v>
      </c>
      <c r="D370" s="10">
        <v>39867</v>
      </c>
      <c r="E370" s="10" t="str">
        <f t="shared" si="47"/>
        <v>2009</v>
      </c>
      <c r="F370" s="10" t="str">
        <f t="shared" si="48"/>
        <v>Feb</v>
      </c>
      <c r="G370" s="10" t="str">
        <f t="shared" si="49"/>
        <v>Q1</v>
      </c>
      <c r="H370" s="11">
        <f t="shared" ca="1" si="46"/>
        <v>16</v>
      </c>
      <c r="I370" t="str">
        <f t="shared" ca="1" si="50"/>
        <v>Senior</v>
      </c>
      <c r="J370">
        <v>4</v>
      </c>
      <c r="K370" s="11">
        <v>4</v>
      </c>
      <c r="L370" s="11" t="str">
        <f t="shared" si="51"/>
        <v>Good Performer</v>
      </c>
      <c r="M370" s="11">
        <v>48</v>
      </c>
      <c r="N370" s="11" t="str">
        <f t="shared" si="52"/>
        <v>Senior Professional</v>
      </c>
      <c r="O370" s="11">
        <f t="shared" si="53"/>
        <v>12</v>
      </c>
      <c r="P370" s="12">
        <v>862563</v>
      </c>
      <c r="Q370" t="str">
        <f t="shared" si="54"/>
        <v>Low</v>
      </c>
    </row>
    <row r="371" spans="1:17" ht="12.5" x14ac:dyDescent="0.25">
      <c r="A371" s="9" t="s">
        <v>388</v>
      </c>
      <c r="B371" s="9" t="s">
        <v>20</v>
      </c>
      <c r="C371" s="9" t="s">
        <v>21</v>
      </c>
      <c r="D371" s="10">
        <v>41111</v>
      </c>
      <c r="E371" s="10" t="str">
        <f t="shared" si="47"/>
        <v>2012</v>
      </c>
      <c r="F371" s="10" t="str">
        <f t="shared" si="48"/>
        <v>Jul</v>
      </c>
      <c r="G371" s="10" t="str">
        <f t="shared" si="49"/>
        <v>Q3</v>
      </c>
      <c r="H371" s="11">
        <f t="shared" ca="1" si="46"/>
        <v>13</v>
      </c>
      <c r="I371" t="str">
        <f t="shared" ca="1" si="50"/>
        <v>Senior</v>
      </c>
      <c r="J371">
        <v>4</v>
      </c>
      <c r="K371" s="11">
        <v>5</v>
      </c>
      <c r="L371" s="11" t="str">
        <f t="shared" si="51"/>
        <v>Excellent Performer</v>
      </c>
      <c r="M371" s="11">
        <v>23</v>
      </c>
      <c r="N371" s="11" t="str">
        <f t="shared" si="52"/>
        <v>Young Talent</v>
      </c>
      <c r="O371" s="11">
        <f t="shared" si="53"/>
        <v>37</v>
      </c>
      <c r="P371" s="12">
        <v>950193</v>
      </c>
      <c r="Q371" t="str">
        <f t="shared" si="54"/>
        <v>Low</v>
      </c>
    </row>
    <row r="372" spans="1:17" ht="12.5" x14ac:dyDescent="0.25">
      <c r="A372" s="9" t="s">
        <v>389</v>
      </c>
      <c r="B372" s="9" t="s">
        <v>4</v>
      </c>
      <c r="C372" s="9" t="s">
        <v>5</v>
      </c>
      <c r="D372" s="10">
        <v>39629</v>
      </c>
      <c r="E372" s="10" t="str">
        <f t="shared" si="47"/>
        <v>2008</v>
      </c>
      <c r="F372" s="10" t="str">
        <f t="shared" si="48"/>
        <v>Jun</v>
      </c>
      <c r="G372" s="10" t="str">
        <f t="shared" si="49"/>
        <v>Q2</v>
      </c>
      <c r="H372" s="11">
        <f t="shared" ca="1" si="46"/>
        <v>17</v>
      </c>
      <c r="I372" t="str">
        <f t="shared" ca="1" si="50"/>
        <v>Senior</v>
      </c>
      <c r="J372">
        <v>2</v>
      </c>
      <c r="K372" s="11">
        <v>5</v>
      </c>
      <c r="L372" s="11" t="str">
        <f t="shared" si="51"/>
        <v>Excellent Performer</v>
      </c>
      <c r="M372" s="11">
        <v>49</v>
      </c>
      <c r="N372" s="11" t="str">
        <f t="shared" si="52"/>
        <v>Senior Professional</v>
      </c>
      <c r="O372" s="11">
        <f t="shared" si="53"/>
        <v>11</v>
      </c>
      <c r="P372" s="12">
        <v>2342869</v>
      </c>
      <c r="Q372" t="str">
        <f t="shared" si="54"/>
        <v>Low</v>
      </c>
    </row>
    <row r="373" spans="1:17" ht="12.5" x14ac:dyDescent="0.25">
      <c r="A373" s="9" t="s">
        <v>390</v>
      </c>
      <c r="B373" s="9" t="s">
        <v>13</v>
      </c>
      <c r="C373" s="9" t="s">
        <v>14</v>
      </c>
      <c r="D373" s="10">
        <v>38888</v>
      </c>
      <c r="E373" s="10" t="str">
        <f t="shared" si="47"/>
        <v>2006</v>
      </c>
      <c r="F373" s="10" t="str">
        <f t="shared" si="48"/>
        <v>Jun</v>
      </c>
      <c r="G373" s="10" t="str">
        <f t="shared" si="49"/>
        <v>Q2</v>
      </c>
      <c r="H373" s="11">
        <f t="shared" ca="1" si="46"/>
        <v>19</v>
      </c>
      <c r="I373" t="str">
        <f t="shared" ca="1" si="50"/>
        <v>Senior</v>
      </c>
      <c r="J373">
        <v>1</v>
      </c>
      <c r="K373" s="11">
        <v>3</v>
      </c>
      <c r="L373" s="11" t="str">
        <f t="shared" si="51"/>
        <v>Average Performer</v>
      </c>
      <c r="M373" s="11">
        <v>46</v>
      </c>
      <c r="N373" s="11" t="str">
        <f t="shared" si="52"/>
        <v>Senior Professional</v>
      </c>
      <c r="O373" s="11">
        <f t="shared" si="53"/>
        <v>14</v>
      </c>
      <c r="P373" s="12">
        <v>3799612</v>
      </c>
      <c r="Q373" t="str">
        <f t="shared" si="54"/>
        <v>Low</v>
      </c>
    </row>
    <row r="374" spans="1:17" ht="15.75" customHeight="1" x14ac:dyDescent="0.25">
      <c r="M374" s="5"/>
    </row>
  </sheetData>
  <autoFilter ref="A1:P373" xr:uid="{00000000-0001-0000-0000-000000000000}"/>
  <phoneticPr fontId="3" type="noConversion"/>
  <pageMargins left="0.7" right="0.7" top="0.75" bottom="0.75" header="0.3" footer="0.3"/>
  <ignoredErrors>
    <ignoredError sqref="Q3:Q6 Q11 Q7:Q10 Q12:Q37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Anik Chakraborty</cp:lastModifiedBy>
  <dcterms:modified xsi:type="dcterms:W3CDTF">2025-11-03T07:57:53Z</dcterms:modified>
</cp:coreProperties>
</file>